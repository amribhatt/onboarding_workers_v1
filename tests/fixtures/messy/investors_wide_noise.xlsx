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 master list - all fields</t>
        </is>
      </c>
    </row>
    <row r="3">
      <c r="A3" s="1" t="inlineStr">
        <is>
          <t>Account Status</t>
        </is>
      </c>
      <c r="B3" s="1" t="inlineStr">
        <is>
          <t>Q4 NAV</t>
        </is>
      </c>
      <c r="C3" s="1" t="inlineStr">
        <is>
          <t>Inv. Type</t>
        </is>
      </c>
      <c r="D3" s="1" t="inlineStr">
        <is>
          <t>Fee Rate %</t>
        </is>
      </c>
      <c r="E3" s="1" t="inlineStr">
        <is>
          <t>Q1 NAV</t>
        </is>
      </c>
      <c r="F3" s="1" t="inlineStr">
        <is>
          <t>Contact Person</t>
        </is>
      </c>
      <c r="G3" s="1" t="inlineStr">
        <is>
          <t>Signatory 1</t>
        </is>
      </c>
      <c r="H3" s="1" t="inlineStr">
        <is>
          <t>W-9 On File</t>
        </is>
      </c>
      <c r="I3" s="1" t="inlineStr">
        <is>
          <t>Last Reviewed</t>
        </is>
      </c>
      <c r="J3" s="1" t="inlineStr">
        <is>
          <t>Notice Method</t>
        </is>
      </c>
      <c r="K3" s="1" t="inlineStr">
        <is>
          <t>Short Name</t>
        </is>
      </c>
      <c r="L3" s="1" t="inlineStr"/>
      <c r="M3" s="1" t="inlineStr">
        <is>
          <t>Onboarding Date</t>
        </is>
      </c>
      <c r="N3" s="1" t="inlineStr">
        <is>
          <t>COMMITMENT CAPACITY USD MILLIONS</t>
        </is>
      </c>
      <c r="O3" s="1" t="inlineStr">
        <is>
          <t>Tier</t>
        </is>
      </c>
      <c r="P3" s="1" t="inlineStr">
        <is>
          <t>Inv ID</t>
        </is>
      </c>
      <c r="Q3" s="1" t="inlineStr">
        <is>
          <t>Bank Name</t>
        </is>
      </c>
      <c r="R3" s="1" t="inlineStr">
        <is>
          <t>risk profile</t>
        </is>
      </c>
      <c r="S3" s="1" t="inlineStr">
        <is>
          <t>Currency</t>
        </is>
      </c>
      <c r="T3" s="1" t="inlineStr">
        <is>
          <t>Jurisdiction</t>
        </is>
      </c>
      <c r="U3" s="1" t="inlineStr">
        <is>
          <t>Q2 NAV</t>
        </is>
      </c>
      <c r="V3" s="1" t="inlineStr">
        <is>
          <t>Onboarded By</t>
        </is>
      </c>
      <c r="W3" s="1" t="inlineStr">
        <is>
          <t>Relationship Manager</t>
        </is>
      </c>
      <c r="X3" s="1" t="inlineStr">
        <is>
          <t>Fund III Commit</t>
        </is>
      </c>
      <c r="Y3" s="1" t="inlineStr">
        <is>
          <t>Region</t>
        </is>
      </c>
      <c r="Z3" s="1" t="inlineStr">
        <is>
          <t>Review Cycle</t>
        </is>
      </c>
      <c r="AA3" s="1" t="inlineStr">
        <is>
          <t>Tax Residence</t>
        </is>
      </c>
      <c r="AB3" s="1" t="inlineStr">
        <is>
          <t>FATCA</t>
        </is>
      </c>
      <c r="AC3" s="1" t="inlineStr">
        <is>
          <t>Account No.</t>
        </is>
      </c>
      <c r="AD3" s="1" t="inlineStr">
        <is>
          <t>Legal Name</t>
        </is>
      </c>
      <c r="AE3" s="1" t="inlineStr">
        <is>
          <t>Sanctions Check</t>
        </is>
      </c>
      <c r="AF3" s="1" t="inlineStr">
        <is>
          <t>CRS</t>
        </is>
      </c>
      <c r="AG3" s="1" t="inlineStr">
        <is>
          <t>SWIFT</t>
        </is>
      </c>
      <c r="AH3" s="1" t="inlineStr">
        <is>
          <t>Fund II Commit</t>
        </is>
      </c>
      <c r="AI3" s="1" t="inlineStr">
        <is>
          <t>Rating</t>
        </is>
      </c>
      <c r="AJ3" s="1" t="inlineStr">
        <is>
          <t>Domicile Code</t>
        </is>
      </c>
      <c r="AK3" s="1" t="inlineStr">
        <is>
          <t>Internal Ref</t>
        </is>
      </c>
      <c r="AL3" s="1" t="inlineStr">
        <is>
          <t>Marketing Opt-in</t>
        </is>
      </c>
      <c r="AM3" s="1" t="inlineStr">
        <is>
          <t>Phone</t>
        </is>
      </c>
      <c r="AN3" s="1" t="inlineStr">
        <is>
          <t>Side Letter?</t>
        </is>
      </c>
      <c r="AO3" s="1" t="inlineStr">
        <is>
          <t>Carry Eligible</t>
        </is>
      </c>
      <c r="AP3" s="1" t="inlineStr">
        <is>
          <t>aum usd millions</t>
        </is>
      </c>
      <c r="AQ3" s="1" t="inlineStr">
        <is>
          <t>Tax ID</t>
        </is>
      </c>
      <c r="AR3" s="1" t="inlineStr">
        <is>
          <t>Comments</t>
        </is>
      </c>
      <c r="AS3" s="1" t="inlineStr">
        <is>
          <t>Signatory 2</t>
        </is>
      </c>
      <c r="AT3" s="1" t="inlineStr"/>
      <c r="AU3" s="1" t="inlineStr">
        <is>
          <t>Called %</t>
        </is>
      </c>
      <c r="AV3" s="1" t="inlineStr">
        <is>
          <t>Email</t>
        </is>
      </c>
      <c r="AW3" s="1" t="inlineStr">
        <is>
          <t>Unfunded</t>
        </is>
      </c>
      <c r="AX3" s="1" t="inlineStr"/>
      <c r="AY3" s="1" t="inlineStr">
        <is>
          <t>Mailing Address</t>
        </is>
      </c>
      <c r="AZ3" s="1" t="inlineStr">
        <is>
          <t>KYC Status</t>
        </is>
      </c>
      <c r="BA3" s="1" t="inlineStr">
        <is>
          <t>Segment</t>
        </is>
      </c>
      <c r="BB3" s="1" t="inlineStr">
        <is>
          <t>Legal Entity Name</t>
        </is>
      </c>
      <c r="BC3" s="1" t="inlineStr"/>
      <c r="BD3" s="1" t="inlineStr">
        <is>
          <t>PEP Flag</t>
        </is>
      </c>
      <c r="BE3" s="1" t="inlineStr">
        <is>
          <t>KYC Date</t>
        </is>
      </c>
    </row>
    <row r="4">
      <c r="A4" t="inlineStr">
        <is>
          <t>Active</t>
        </is>
      </c>
      <c r="B4" t="n">
        <v>4366090.39</v>
      </c>
      <c r="C4" t="inlineStr">
        <is>
          <t>Family Office</t>
        </is>
      </c>
      <c r="D4" t="n">
        <v>2414345.93</v>
      </c>
      <c r="E4" t="n">
        <v>3284248.49</v>
      </c>
      <c r="F4" t="inlineStr">
        <is>
          <t>Standard</t>
        </is>
      </c>
      <c r="G4" t="inlineStr">
        <is>
          <t>Reviewed</t>
        </is>
      </c>
      <c r="H4" t="inlineStr">
        <is>
          <t>n/a</t>
        </is>
      </c>
      <c r="I4" t="inlineStr">
        <is>
          <t>2023-08-18</t>
        </is>
      </c>
      <c r="J4" t="inlineStr">
        <is>
          <t>-</t>
        </is>
      </c>
      <c r="K4" t="inlineStr">
        <is>
          <t>Smith-Rowe</t>
        </is>
      </c>
      <c r="M4" t="inlineStr">
        <is>
          <t>24-Feb-2015</t>
        </is>
      </c>
      <c r="N4" t="n">
        <v>4679.5784</v>
      </c>
      <c r="O4" t="inlineStr"/>
      <c r="P4" t="inlineStr">
        <is>
          <t>INV0000001</t>
        </is>
      </c>
      <c r="Q4" t="inlineStr">
        <is>
          <t>See file</t>
        </is>
      </c>
      <c r="R4" t="inlineStr">
        <is>
          <t>Conservative</t>
        </is>
      </c>
      <c r="S4" t="inlineStr">
        <is>
          <t>CHF</t>
        </is>
      </c>
      <c r="T4" t="inlineStr">
        <is>
          <t>Zambia</t>
        </is>
      </c>
      <c r="U4" t="n">
        <v>3626636.03</v>
      </c>
      <c r="V4" t="inlineStr">
        <is>
          <t>Pending</t>
        </is>
      </c>
      <c r="W4" t="inlineStr">
        <is>
          <t>-</t>
        </is>
      </c>
      <c r="X4" t="n">
        <v>4581254.93</v>
      </c>
      <c r="Y4" t="inlineStr">
        <is>
          <t>Reviewed</t>
        </is>
      </c>
      <c r="Z4" t="inlineStr">
        <is>
          <t>Q3 follow-up</t>
        </is>
      </c>
      <c r="AA4" t="inlineStr">
        <is>
          <t>Pending</t>
        </is>
      </c>
      <c r="AB4" t="inlineStr">
        <is>
          <t>Yes</t>
        </is>
      </c>
      <c r="AC4" t="inlineStr">
        <is>
          <t>Pending</t>
        </is>
      </c>
      <c r="AD4" t="inlineStr">
        <is>
          <t>Smith-Rowe 0010</t>
        </is>
      </c>
      <c r="AE4" t="inlineStr">
        <is>
          <t>High</t>
        </is>
      </c>
      <c r="AF4" t="inlineStr">
        <is>
          <t>Yes</t>
        </is>
      </c>
      <c r="AG4" t="inlineStr">
        <is>
          <t>-</t>
        </is>
      </c>
      <c r="AH4" t="n">
        <v>3077982.08</v>
      </c>
      <c r="AI4" t="inlineStr">
        <is>
          <t>High</t>
        </is>
      </c>
      <c r="AJ4" t="inlineStr">
        <is>
          <t>Reviewed</t>
        </is>
      </c>
      <c r="AK4" t="inlineStr">
        <is>
          <t>-</t>
        </is>
      </c>
      <c r="AL4" t="inlineStr"/>
      <c r="AM4" t="inlineStr">
        <is>
          <t>Reviewed</t>
        </is>
      </c>
      <c r="AN4" t="inlineStr"/>
      <c r="AO4" t="inlineStr">
        <is>
          <t>Y</t>
        </is>
      </c>
      <c r="AP4" t="inlineStr">
        <is>
          <t>5,648.88</t>
        </is>
      </c>
      <c r="AQ4" t="inlineStr"/>
      <c r="AR4" t="inlineStr">
        <is>
          <t>See file</t>
        </is>
      </c>
      <c r="AS4" t="inlineStr">
        <is>
          <t>Q3 follow-up</t>
        </is>
      </c>
      <c r="AU4" t="n">
        <v>4984255</v>
      </c>
      <c r="AV4" t="inlineStr">
        <is>
          <t>user973@example.org</t>
        </is>
      </c>
      <c r="AW4">
        <f>ROW()*6</f>
        <v/>
      </c>
      <c r="AY4" t="inlineStr">
        <is>
          <t>-</t>
        </is>
      </c>
      <c r="AZ4" t="inlineStr">
        <is>
          <t>Pending</t>
        </is>
      </c>
      <c r="BA4" t="inlineStr">
        <is>
          <t>-</t>
        </is>
      </c>
      <c r="BB4" t="inlineStr">
        <is>
          <t>Smith-Rowe 0010 (Legal Entity)</t>
        </is>
      </c>
      <c r="BD4" t="inlineStr">
        <is>
          <t>Yes</t>
        </is>
      </c>
      <c r="BE4" t="inlineStr">
        <is>
          <t>07/03/22</t>
        </is>
      </c>
    </row>
    <row r="5">
      <c r="A5" t="inlineStr">
        <is>
          <t>Active</t>
        </is>
      </c>
      <c r="B5" t="n">
        <v>2839938.06</v>
      </c>
      <c r="C5" t="inlineStr">
        <is>
          <t>Pension Fund</t>
        </is>
      </c>
      <c r="D5" t="n">
        <v>2462025.94</v>
      </c>
      <c r="E5" t="n">
        <v>2790505.65</v>
      </c>
      <c r="F5" t="inlineStr">
        <is>
          <t>Low</t>
        </is>
      </c>
      <c r="G5" t="inlineStr">
        <is>
          <t>TBC</t>
        </is>
      </c>
      <c r="H5" t="inlineStr">
        <is>
          <t>Y</t>
        </is>
      </c>
      <c r="I5" t="inlineStr">
        <is>
          <t>10-Jun-2021</t>
        </is>
      </c>
      <c r="J5" t="inlineStr">
        <is>
          <t>Standard</t>
        </is>
      </c>
      <c r="K5" t="inlineStr">
        <is>
          <t>Nichols,</t>
        </is>
      </c>
      <c r="M5" t="inlineStr">
        <is>
          <t>07/30/21</t>
        </is>
      </c>
      <c r="N5" t="n">
        <v>4051.9747</v>
      </c>
      <c r="O5" t="inlineStr">
        <is>
          <t>Low</t>
        </is>
      </c>
      <c r="P5" t="inlineStr">
        <is>
          <t>INV0000002</t>
        </is>
      </c>
      <c r="Q5" t="inlineStr">
        <is>
          <t>-</t>
        </is>
      </c>
      <c r="R5" t="inlineStr">
        <is>
          <t>Conservative</t>
        </is>
      </c>
      <c r="S5" t="inlineStr">
        <is>
          <t>GBP</t>
        </is>
      </c>
      <c r="T5" t="inlineStr">
        <is>
          <t>Yemen</t>
        </is>
      </c>
      <c r="U5" t="inlineStr">
        <is>
          <t>TBD</t>
        </is>
      </c>
      <c r="V5" t="inlineStr"/>
      <c r="W5" t="inlineStr">
        <is>
          <t>Standard</t>
        </is>
      </c>
      <c r="X5" t="n">
        <v>4867374.69</v>
      </c>
      <c r="Y5" t="inlineStr">
        <is>
          <t>Standard</t>
        </is>
      </c>
      <c r="Z5" t="inlineStr">
        <is>
          <t>Q3 follow-up</t>
        </is>
      </c>
      <c r="AA5" t="inlineStr">
        <is>
          <t>TBC</t>
        </is>
      </c>
      <c r="AB5" t="inlineStr">
        <is>
          <t>Y</t>
        </is>
      </c>
      <c r="AC5" t="inlineStr">
        <is>
          <t>High</t>
        </is>
      </c>
      <c r="AD5" t="inlineStr">
        <is>
          <t>Nichols, Spears and Brown 0009</t>
        </is>
      </c>
      <c r="AE5" t="inlineStr">
        <is>
          <t>-</t>
        </is>
      </c>
      <c r="AF5" t="inlineStr">
        <is>
          <t>Yes</t>
        </is>
      </c>
      <c r="AG5" t="inlineStr">
        <is>
          <t>TBC</t>
        </is>
      </c>
      <c r="AH5" t="n">
        <v>2587142.38</v>
      </c>
      <c r="AI5" t="inlineStr">
        <is>
          <t>Standard</t>
        </is>
      </c>
      <c r="AJ5" t="inlineStr">
        <is>
          <t>Low</t>
        </is>
      </c>
      <c r="AK5" t="inlineStr">
        <is>
          <t>High</t>
        </is>
      </c>
      <c r="AL5" t="inlineStr">
        <is>
          <t>N</t>
        </is>
      </c>
      <c r="AM5" t="inlineStr">
        <is>
          <t>High</t>
        </is>
      </c>
      <c r="AN5" t="inlineStr">
        <is>
          <t>n/a</t>
        </is>
      </c>
      <c r="AO5" t="inlineStr">
        <is>
          <t>n/a</t>
        </is>
      </c>
      <c r="AP5" t="inlineStr">
        <is>
          <t>48,076.63</t>
        </is>
      </c>
      <c r="AQ5" t="inlineStr">
        <is>
          <t>High</t>
        </is>
      </c>
      <c r="AR5" t="inlineStr">
        <is>
          <t>Low</t>
        </is>
      </c>
      <c r="AS5" t="inlineStr">
        <is>
          <t>High</t>
        </is>
      </c>
      <c r="AU5" t="n">
        <v>1489995.34</v>
      </c>
      <c r="AV5" t="inlineStr">
        <is>
          <t>user422@example.org</t>
        </is>
      </c>
      <c r="AW5">
        <f>ROW()*5</f>
        <v/>
      </c>
      <c r="AY5" t="inlineStr">
        <is>
          <t>-</t>
        </is>
      </c>
      <c r="AZ5" t="inlineStr">
        <is>
          <t>Standard</t>
        </is>
      </c>
      <c r="BA5" t="inlineStr">
        <is>
          <t>Standard</t>
        </is>
      </c>
      <c r="BB5" t="inlineStr">
        <is>
          <t>Nichols, Spears and Brown 0009 (Legal Entity)</t>
        </is>
      </c>
      <c r="BD5" t="inlineStr">
        <is>
          <t>N</t>
        </is>
      </c>
      <c r="BE5" t="inlineStr">
        <is>
          <t>2023-06-26</t>
        </is>
      </c>
    </row>
    <row r="6">
      <c r="A6" t="inlineStr">
        <is>
          <t>Active</t>
        </is>
      </c>
      <c r="B6" t="n">
        <v>2612877.48</v>
      </c>
      <c r="C6" t="inlineStr">
        <is>
          <t>Family Office</t>
        </is>
      </c>
      <c r="D6" t="n">
        <v>3175978.65</v>
      </c>
      <c r="E6" t="n">
        <v>4267854.89</v>
      </c>
      <c r="F6" t="inlineStr">
        <is>
          <t>See file</t>
        </is>
      </c>
      <c r="G6" t="inlineStr">
        <is>
          <t>Standard</t>
        </is>
      </c>
      <c r="H6" t="inlineStr">
        <is>
          <t>TRUE</t>
        </is>
      </c>
      <c r="I6" t="inlineStr">
        <is>
          <t>22-Feb-2020</t>
        </is>
      </c>
      <c r="J6" t="inlineStr">
        <is>
          <t>Low</t>
        </is>
      </c>
      <c r="K6" t="inlineStr">
        <is>
          <t>Aguilar,</t>
        </is>
      </c>
      <c r="M6" t="inlineStr">
        <is>
          <t>09/16/18</t>
        </is>
      </c>
      <c r="N6" t="inlineStr">
        <is>
          <t>3,551.02</t>
        </is>
      </c>
      <c r="O6" t="inlineStr">
        <is>
          <t>-</t>
        </is>
      </c>
      <c r="P6" t="inlineStr">
        <is>
          <t>INV0000003</t>
        </is>
      </c>
      <c r="Q6" t="inlineStr">
        <is>
          <t>Q3 follow-up</t>
        </is>
      </c>
      <c r="R6" t="inlineStr">
        <is>
          <t>Moderate</t>
        </is>
      </c>
      <c r="S6" t="inlineStr">
        <is>
          <t>USD</t>
        </is>
      </c>
      <c r="T6" t="inlineStr">
        <is>
          <t>Samoa</t>
        </is>
      </c>
      <c r="U6" t="n">
        <v>426648.71</v>
      </c>
      <c r="V6" t="inlineStr">
        <is>
          <t>TBC</t>
        </is>
      </c>
      <c r="W6" t="inlineStr">
        <is>
          <t>-</t>
        </is>
      </c>
      <c r="X6" t="n">
        <v>631908.77</v>
      </c>
      <c r="Y6" t="inlineStr"/>
      <c r="Z6" t="inlineStr">
        <is>
          <t>High</t>
        </is>
      </c>
      <c r="AA6" t="inlineStr">
        <is>
          <t>TBC</t>
        </is>
      </c>
      <c r="AB6" t="inlineStr">
        <is>
          <t>Y</t>
        </is>
      </c>
      <c r="AC6" t="inlineStr">
        <is>
          <t>-</t>
        </is>
      </c>
      <c r="AD6" t="inlineStr">
        <is>
          <t>Aguilar, Carr and Logan 0038</t>
        </is>
      </c>
      <c r="AE6" t="inlineStr">
        <is>
          <t>Reviewed</t>
        </is>
      </c>
      <c r="AF6" t="inlineStr">
        <is>
          <t>n/a</t>
        </is>
      </c>
      <c r="AG6" t="inlineStr"/>
      <c r="AH6" t="inlineStr">
        <is>
          <t>N/A</t>
        </is>
      </c>
      <c r="AI6" t="inlineStr">
        <is>
          <t>TBC</t>
        </is>
      </c>
      <c r="AJ6" t="inlineStr">
        <is>
          <t>-</t>
        </is>
      </c>
      <c r="AK6" t="inlineStr">
        <is>
          <t>Reviewed</t>
        </is>
      </c>
      <c r="AL6" t="inlineStr">
        <is>
          <t>N</t>
        </is>
      </c>
      <c r="AM6" t="inlineStr">
        <is>
          <t>See file</t>
        </is>
      </c>
      <c r="AN6" t="inlineStr">
        <is>
          <t>TRUE</t>
        </is>
      </c>
      <c r="AO6" t="inlineStr">
        <is>
          <t>n/a</t>
        </is>
      </c>
      <c r="AP6" t="inlineStr">
        <is>
          <t>39,302.05</t>
        </is>
      </c>
      <c r="AQ6" t="inlineStr">
        <is>
          <t>Reviewed</t>
        </is>
      </c>
      <c r="AR6" t="inlineStr">
        <is>
          <t>Low</t>
        </is>
      </c>
      <c r="AS6" t="inlineStr">
        <is>
          <t>High</t>
        </is>
      </c>
      <c r="AU6" t="n">
        <v>3044240.01</v>
      </c>
      <c r="AV6" t="inlineStr">
        <is>
          <t>user887@example.org</t>
        </is>
      </c>
      <c r="AW6">
        <f>ROW()*9</f>
        <v/>
      </c>
      <c r="AY6" t="inlineStr">
        <is>
          <t>Reviewed</t>
        </is>
      </c>
      <c r="AZ6" t="inlineStr">
        <is>
          <t>Reviewed</t>
        </is>
      </c>
      <c r="BA6" t="inlineStr">
        <is>
          <t>Q3 follow-up</t>
        </is>
      </c>
      <c r="BB6" t="inlineStr">
        <is>
          <t>Aguilar, Carr and Logan 0038 (Legal Entity)</t>
        </is>
      </c>
      <c r="BD6" t="inlineStr">
        <is>
          <t>n/a</t>
        </is>
      </c>
      <c r="BE6" t="inlineStr">
        <is>
          <t>06-Aug-2021</t>
        </is>
      </c>
    </row>
    <row r="7">
      <c r="A7" t="inlineStr">
        <is>
          <t>Active</t>
        </is>
      </c>
      <c r="B7" t="n">
        <v>3796694.3</v>
      </c>
      <c r="C7" t="inlineStr">
        <is>
          <t>Family Office</t>
        </is>
      </c>
      <c r="D7" t="n">
        <v>4623716</v>
      </c>
      <c r="E7" t="n">
        <v>1059250.53</v>
      </c>
      <c r="F7" t="inlineStr">
        <is>
          <t>-</t>
        </is>
      </c>
      <c r="G7" t="inlineStr">
        <is>
          <t>Standard</t>
        </is>
      </c>
      <c r="H7" t="inlineStr">
        <is>
          <t>TRUE</t>
        </is>
      </c>
      <c r="I7" t="inlineStr">
        <is>
          <t>2021-10-04</t>
        </is>
      </c>
      <c r="J7" t="inlineStr">
        <is>
          <t>TBC</t>
        </is>
      </c>
      <c r="K7" t="inlineStr">
        <is>
          <t>SIMPSON-ESCOBAR</t>
        </is>
      </c>
      <c r="M7" t="inlineStr">
        <is>
          <t>06/27/25</t>
        </is>
      </c>
      <c r="N7" t="inlineStr">
        <is>
          <t>856.21</t>
        </is>
      </c>
      <c r="O7" t="inlineStr">
        <is>
          <t>Reviewed</t>
        </is>
      </c>
      <c r="P7" t="inlineStr">
        <is>
          <t>INV0000039</t>
        </is>
      </c>
      <c r="Q7" t="inlineStr">
        <is>
          <t>Reviewed</t>
        </is>
      </c>
      <c r="R7" t="inlineStr">
        <is>
          <t>Moderate</t>
        </is>
      </c>
      <c r="S7" t="inlineStr">
        <is>
          <t>USD</t>
        </is>
      </c>
      <c r="T7" t="inlineStr">
        <is>
          <t>British Virgin Islands</t>
        </is>
      </c>
      <c r="U7" t="n">
        <v>4284893.89</v>
      </c>
      <c r="V7" t="inlineStr">
        <is>
          <t>-</t>
        </is>
      </c>
      <c r="W7" t="inlineStr">
        <is>
          <t>Standard</t>
        </is>
      </c>
      <c r="X7" t="inlineStr">
        <is>
          <t>n/a</t>
        </is>
      </c>
      <c r="Y7" t="inlineStr">
        <is>
          <t>-</t>
        </is>
      </c>
      <c r="Z7" t="inlineStr">
        <is>
          <t>Q3 follow-up</t>
        </is>
      </c>
      <c r="AA7" t="inlineStr">
        <is>
          <t>-</t>
        </is>
      </c>
      <c r="AB7" t="inlineStr"/>
      <c r="AC7" t="inlineStr">
        <is>
          <t>Standard</t>
        </is>
      </c>
      <c r="AD7" t="inlineStr">
        <is>
          <t>SIMPSON-ESCOBAR 0025</t>
        </is>
      </c>
      <c r="AE7" t="inlineStr">
        <is>
          <t>-</t>
        </is>
      </c>
      <c r="AF7" t="inlineStr">
        <is>
          <t>No</t>
        </is>
      </c>
      <c r="AG7" t="inlineStr">
        <is>
          <t>-</t>
        </is>
      </c>
      <c r="AH7" t="inlineStr">
        <is>
          <t>-</t>
        </is>
      </c>
      <c r="AI7" t="inlineStr">
        <is>
          <t>Standard</t>
        </is>
      </c>
      <c r="AJ7" t="inlineStr">
        <is>
          <t>Reviewed</t>
        </is>
      </c>
      <c r="AK7" t="inlineStr">
        <is>
          <t>Pending</t>
        </is>
      </c>
      <c r="AL7" t="inlineStr">
        <is>
          <t>Yes</t>
        </is>
      </c>
      <c r="AM7" t="inlineStr">
        <is>
          <t>Q3 follow-up</t>
        </is>
      </c>
      <c r="AN7" t="inlineStr">
        <is>
          <t>n/a</t>
        </is>
      </c>
      <c r="AO7" t="inlineStr">
        <is>
          <t>Yes</t>
        </is>
      </c>
      <c r="AP7" t="n">
        <v>37009.36</v>
      </c>
      <c r="AQ7" t="inlineStr">
        <is>
          <t>High</t>
        </is>
      </c>
      <c r="AR7" t="inlineStr">
        <is>
          <t>Standard</t>
        </is>
      </c>
      <c r="AS7" t="inlineStr">
        <is>
          <t>See file</t>
        </is>
      </c>
      <c r="AU7" t="n">
        <v>2118314.33</v>
      </c>
      <c r="AV7" t="inlineStr">
        <is>
          <t>user354@example.org</t>
        </is>
      </c>
      <c r="AW7">
        <f>ROW()*8</f>
        <v/>
      </c>
      <c r="AY7" t="inlineStr">
        <is>
          <t>Low</t>
        </is>
      </c>
      <c r="AZ7" t="inlineStr">
        <is>
          <t>Pending</t>
        </is>
      </c>
      <c r="BA7" t="inlineStr">
        <is>
          <t>See file</t>
        </is>
      </c>
      <c r="BB7" t="inlineStr">
        <is>
          <t>SIMPSON-ESCOBAR 0025 (Legal Entity)</t>
        </is>
      </c>
      <c r="BD7" t="inlineStr">
        <is>
          <t>TRUE</t>
        </is>
      </c>
      <c r="BE7" t="inlineStr">
        <is>
          <t>2021-04-12</t>
        </is>
      </c>
    </row>
    <row r="8">
      <c r="A8" t="inlineStr">
        <is>
          <t>Active</t>
        </is>
      </c>
      <c r="B8" t="n">
        <v>3392786.74</v>
      </c>
      <c r="C8" t="inlineStr">
        <is>
          <t>High Net Worth Individual</t>
        </is>
      </c>
      <c r="D8" t="n">
        <v>292903.98</v>
      </c>
      <c r="E8" t="n">
        <v>4501796.27</v>
      </c>
      <c r="F8" t="inlineStr">
        <is>
          <t>-</t>
        </is>
      </c>
      <c r="G8" t="inlineStr">
        <is>
          <t>Low</t>
        </is>
      </c>
      <c r="H8" t="inlineStr">
        <is>
          <t>N</t>
        </is>
      </c>
      <c r="I8" t="inlineStr">
        <is>
          <t>2024-09-29</t>
        </is>
      </c>
      <c r="J8" t="inlineStr">
        <is>
          <t>Low</t>
        </is>
      </c>
      <c r="K8" t="inlineStr">
        <is>
          <t>Green-Adams</t>
        </is>
      </c>
      <c r="M8" t="inlineStr">
        <is>
          <t>2018-07-19</t>
        </is>
      </c>
      <c r="N8" t="n">
        <v>1015.8564</v>
      </c>
      <c r="O8" t="inlineStr">
        <is>
          <t>Low</t>
        </is>
      </c>
      <c r="P8" t="inlineStr">
        <is>
          <t>INV0000004</t>
        </is>
      </c>
      <c r="Q8" t="inlineStr">
        <is>
          <t>-</t>
        </is>
      </c>
      <c r="R8" t="inlineStr">
        <is>
          <t>Aggressive</t>
        </is>
      </c>
      <c r="S8" t="inlineStr">
        <is>
          <t>USD</t>
        </is>
      </c>
      <c r="T8" t="inlineStr">
        <is>
          <t>Bouvet Island (Bouvetoya)</t>
        </is>
      </c>
      <c r="U8" t="n">
        <v>293905.95</v>
      </c>
      <c r="V8" t="inlineStr">
        <is>
          <t>High</t>
        </is>
      </c>
      <c r="W8" t="inlineStr">
        <is>
          <t>Standard</t>
        </is>
      </c>
      <c r="X8" t="n">
        <v>423843.03</v>
      </c>
      <c r="Y8" t="inlineStr">
        <is>
          <t>High</t>
        </is>
      </c>
      <c r="Z8" t="inlineStr">
        <is>
          <t>Reviewed</t>
        </is>
      </c>
      <c r="AA8" t="inlineStr">
        <is>
          <t>Q3 follow-up</t>
        </is>
      </c>
      <c r="AB8" t="inlineStr">
        <is>
          <t>n/a</t>
        </is>
      </c>
      <c r="AC8" t="inlineStr">
        <is>
          <t>Low</t>
        </is>
      </c>
      <c r="AD8" t="inlineStr">
        <is>
          <t>Green-Adams 0014</t>
        </is>
      </c>
      <c r="AE8" t="inlineStr">
        <is>
          <t>Standard</t>
        </is>
      </c>
      <c r="AF8" t="inlineStr">
        <is>
          <t>Yes</t>
        </is>
      </c>
      <c r="AG8" t="inlineStr">
        <is>
          <t>See file</t>
        </is>
      </c>
      <c r="AH8" t="n">
        <v>4618460.28</v>
      </c>
      <c r="AI8" t="inlineStr">
        <is>
          <t>Low</t>
        </is>
      </c>
      <c r="AJ8" t="inlineStr"/>
      <c r="AK8" t="inlineStr">
        <is>
          <t>High</t>
        </is>
      </c>
      <c r="AL8" t="inlineStr"/>
      <c r="AM8" t="inlineStr">
        <is>
          <t>-</t>
        </is>
      </c>
      <c r="AN8" t="inlineStr">
        <is>
          <t>n/a</t>
        </is>
      </c>
      <c r="AO8" t="inlineStr">
        <is>
          <t>No</t>
        </is>
      </c>
      <c r="AP8" t="inlineStr">
        <is>
          <t>32,433.71</t>
        </is>
      </c>
      <c r="AQ8" t="inlineStr">
        <is>
          <t>Standard</t>
        </is>
      </c>
      <c r="AR8" t="inlineStr">
        <is>
          <t>Reviewed</t>
        </is>
      </c>
      <c r="AS8" t="inlineStr"/>
      <c r="AU8" t="inlineStr"/>
      <c r="AV8" t="inlineStr">
        <is>
          <t>user2@example.org</t>
        </is>
      </c>
      <c r="AW8">
        <f>ROW()*7</f>
        <v/>
      </c>
      <c r="AY8" t="inlineStr">
        <is>
          <t>High</t>
        </is>
      </c>
      <c r="AZ8" t="inlineStr">
        <is>
          <t>-</t>
        </is>
      </c>
      <c r="BA8" t="inlineStr">
        <is>
          <t>Reviewed</t>
        </is>
      </c>
      <c r="BB8" t="inlineStr">
        <is>
          <t>Green-Adams 0014 (Legal Entity)</t>
        </is>
      </c>
      <c r="BD8" t="inlineStr">
        <is>
          <t>No</t>
        </is>
      </c>
      <c r="BE8" t="inlineStr">
        <is>
          <t>2023-10-16</t>
        </is>
      </c>
    </row>
    <row r="9">
      <c r="A9" t="inlineStr">
        <is>
          <t>Active</t>
        </is>
      </c>
      <c r="B9" t="n">
        <v>1965058.26</v>
      </c>
      <c r="C9" t="inlineStr">
        <is>
          <t>Insurance Company</t>
        </is>
      </c>
      <c r="D9" t="n">
        <v>1199038.77</v>
      </c>
      <c r="E9" t="inlineStr"/>
      <c r="F9" t="inlineStr"/>
      <c r="G9" t="inlineStr">
        <is>
          <t>Q3 follow-up</t>
        </is>
      </c>
      <c r="H9" t="inlineStr"/>
      <c r="I9" t="inlineStr">
        <is>
          <t>10/22/21</t>
        </is>
      </c>
      <c r="J9" t="inlineStr">
        <is>
          <t>TBC</t>
        </is>
      </c>
      <c r="K9" t="inlineStr">
        <is>
          <t>Weiss,</t>
        </is>
      </c>
      <c r="M9" t="inlineStr">
        <is>
          <t>15-Dec-2023</t>
        </is>
      </c>
      <c r="N9" t="n">
        <v>1094.8694</v>
      </c>
      <c r="O9" t="inlineStr">
        <is>
          <t>Standard</t>
        </is>
      </c>
      <c r="P9" t="inlineStr">
        <is>
          <t>INV0000005</t>
        </is>
      </c>
      <c r="Q9" t="inlineStr">
        <is>
          <t>Standard</t>
        </is>
      </c>
      <c r="R9" t="inlineStr">
        <is>
          <t>Conservative</t>
        </is>
      </c>
      <c r="S9" t="inlineStr">
        <is>
          <t>USD</t>
        </is>
      </c>
      <c r="T9" t="inlineStr">
        <is>
          <t>Antarctica (the territory South of 60 deg S)</t>
        </is>
      </c>
      <c r="U9" t="n">
        <v>1379921.03</v>
      </c>
      <c r="V9" t="inlineStr">
        <is>
          <t>Reviewed</t>
        </is>
      </c>
      <c r="W9" t="inlineStr">
        <is>
          <t>Reviewed</t>
        </is>
      </c>
      <c r="X9" t="n">
        <v>1537761.47</v>
      </c>
      <c r="Y9" t="inlineStr"/>
      <c r="Z9" t="inlineStr">
        <is>
          <t>Q3 follow-up</t>
        </is>
      </c>
      <c r="AA9" t="inlineStr">
        <is>
          <t>Reviewed</t>
        </is>
      </c>
      <c r="AB9" t="inlineStr">
        <is>
          <t>N</t>
        </is>
      </c>
      <c r="AC9" t="inlineStr">
        <is>
          <t>Reviewed</t>
        </is>
      </c>
      <c r="AD9" t="inlineStr">
        <is>
          <t>Weiss, Frazier and Cunningham 0021</t>
        </is>
      </c>
      <c r="AE9" t="inlineStr">
        <is>
          <t>TBC</t>
        </is>
      </c>
      <c r="AF9" t="inlineStr">
        <is>
          <t>Yes</t>
        </is>
      </c>
      <c r="AG9" t="inlineStr">
        <is>
          <t>Q3 follow-up</t>
        </is>
      </c>
      <c r="AH9" t="n">
        <v>402368.9</v>
      </c>
      <c r="AI9" t="inlineStr">
        <is>
          <t>See file</t>
        </is>
      </c>
      <c r="AJ9" t="inlineStr">
        <is>
          <t>-</t>
        </is>
      </c>
      <c r="AK9" t="inlineStr">
        <is>
          <t>High</t>
        </is>
      </c>
      <c r="AL9" t="inlineStr">
        <is>
          <t>No</t>
        </is>
      </c>
      <c r="AM9" t="inlineStr">
        <is>
          <t>Reviewed</t>
        </is>
      </c>
      <c r="AN9" t="inlineStr">
        <is>
          <t>n/a</t>
        </is>
      </c>
      <c r="AO9" t="inlineStr">
        <is>
          <t>Yes</t>
        </is>
      </c>
      <c r="AP9" t="n">
        <v>39544.32</v>
      </c>
      <c r="AQ9" t="inlineStr">
        <is>
          <t>TBC</t>
        </is>
      </c>
      <c r="AR9" t="inlineStr">
        <is>
          <t>Pending</t>
        </is>
      </c>
      <c r="AS9" t="inlineStr">
        <is>
          <t>High</t>
        </is>
      </c>
      <c r="AU9" t="n">
        <v>4123781.98</v>
      </c>
      <c r="AV9" t="inlineStr">
        <is>
          <t>user768@example.org</t>
        </is>
      </c>
      <c r="AW9">
        <f>ROW()*3</f>
        <v/>
      </c>
      <c r="AY9" t="inlineStr">
        <is>
          <t>High</t>
        </is>
      </c>
      <c r="AZ9" t="inlineStr">
        <is>
          <t>TBC</t>
        </is>
      </c>
      <c r="BA9" t="inlineStr">
        <is>
          <t>Q3 follow-up</t>
        </is>
      </c>
      <c r="BB9" t="inlineStr">
        <is>
          <t>Weiss, Frazier and Cunningham 0021 (Legal Entity)</t>
        </is>
      </c>
      <c r="BD9" t="inlineStr">
        <is>
          <t>Y</t>
        </is>
      </c>
      <c r="BE9" t="inlineStr">
        <is>
          <t>11/01/20</t>
        </is>
      </c>
    </row>
    <row r="10">
      <c r="A10" t="inlineStr">
        <is>
          <t>Active</t>
        </is>
      </c>
      <c r="B10" t="n">
        <v>157527.22</v>
      </c>
      <c r="C10" t="inlineStr">
        <is>
          <t>Pension Fund</t>
        </is>
      </c>
      <c r="D10" t="n">
        <v>4911812.49</v>
      </c>
      <c r="E10" t="n">
        <v>1755366.71</v>
      </c>
      <c r="F10" t="inlineStr">
        <is>
          <t>Standard</t>
        </is>
      </c>
      <c r="G10" t="inlineStr">
        <is>
          <t>Low</t>
        </is>
      </c>
      <c r="H10" t="inlineStr">
        <is>
          <t>Yes</t>
        </is>
      </c>
      <c r="I10" t="inlineStr">
        <is>
          <t>19/05/2023</t>
        </is>
      </c>
      <c r="J10" t="inlineStr">
        <is>
          <t>Pending</t>
        </is>
      </c>
      <c r="K10" t="inlineStr">
        <is>
          <t>Schneider-Horton</t>
        </is>
      </c>
      <c r="M10" t="inlineStr">
        <is>
          <t>12/09/20</t>
        </is>
      </c>
      <c r="N10" t="n">
        <v>548.7913</v>
      </c>
      <c r="O10" t="inlineStr">
        <is>
          <t>Pending</t>
        </is>
      </c>
      <c r="P10" t="inlineStr">
        <is>
          <t>INV0000006</t>
        </is>
      </c>
      <c r="Q10" t="inlineStr">
        <is>
          <t>Standard</t>
        </is>
      </c>
      <c r="R10" t="inlineStr">
        <is>
          <t>Moderate</t>
        </is>
      </c>
      <c r="S10" t="inlineStr">
        <is>
          <t>GBP</t>
        </is>
      </c>
      <c r="T10" t="inlineStr">
        <is>
          <t>Cuba</t>
        </is>
      </c>
      <c r="U10" t="n">
        <v>3812617.23</v>
      </c>
      <c r="V10" t="inlineStr">
        <is>
          <t>High</t>
        </is>
      </c>
      <c r="W10" t="inlineStr">
        <is>
          <t>See file</t>
        </is>
      </c>
      <c r="X10" t="n">
        <v>3862270.88</v>
      </c>
      <c r="Y10" t="inlineStr">
        <is>
          <t>-</t>
        </is>
      </c>
      <c r="Z10" t="inlineStr">
        <is>
          <t>Standard</t>
        </is>
      </c>
      <c r="AA10" t="inlineStr">
        <is>
          <t>Reviewed</t>
        </is>
      </c>
      <c r="AB10" t="inlineStr">
        <is>
          <t>Y</t>
        </is>
      </c>
      <c r="AC10" t="inlineStr">
        <is>
          <t>TBC</t>
        </is>
      </c>
      <c r="AD10" t="inlineStr">
        <is>
          <t>Schneider-Horton 0015</t>
        </is>
      </c>
      <c r="AE10" t="inlineStr">
        <is>
          <t>See file</t>
        </is>
      </c>
      <c r="AF10" t="inlineStr">
        <is>
          <t>N</t>
        </is>
      </c>
      <c r="AG10" t="inlineStr">
        <is>
          <t>High</t>
        </is>
      </c>
      <c r="AH10" t="n">
        <v>4003041.03</v>
      </c>
      <c r="AI10" t="inlineStr">
        <is>
          <t>See file</t>
        </is>
      </c>
      <c r="AJ10" t="inlineStr">
        <is>
          <t>Pending</t>
        </is>
      </c>
      <c r="AK10" t="inlineStr">
        <is>
          <t>Pending</t>
        </is>
      </c>
      <c r="AL10" t="inlineStr">
        <is>
          <t>Y</t>
        </is>
      </c>
      <c r="AM10" t="inlineStr"/>
      <c r="AN10" t="inlineStr">
        <is>
          <t>N</t>
        </is>
      </c>
      <c r="AO10" t="inlineStr">
        <is>
          <t>N</t>
        </is>
      </c>
      <c r="AP10" t="n">
        <v>30615.99</v>
      </c>
      <c r="AQ10" t="inlineStr">
        <is>
          <t>Low</t>
        </is>
      </c>
      <c r="AR10" t="inlineStr">
        <is>
          <t>TBC</t>
        </is>
      </c>
      <c r="AS10" t="inlineStr">
        <is>
          <t>-</t>
        </is>
      </c>
      <c r="AU10" t="n">
        <v>2368337.09</v>
      </c>
      <c r="AV10" t="inlineStr">
        <is>
          <t>user844@example.org</t>
        </is>
      </c>
      <c r="AW10">
        <f>ROW()*8</f>
        <v/>
      </c>
      <c r="AY10" t="inlineStr">
        <is>
          <t>Pending</t>
        </is>
      </c>
      <c r="AZ10" t="inlineStr">
        <is>
          <t>Reviewed</t>
        </is>
      </c>
      <c r="BA10" t="inlineStr">
        <is>
          <t>Q3 follow-up</t>
        </is>
      </c>
      <c r="BB10" t="inlineStr">
        <is>
          <t>Schneider-Horton 0015 (Legal Entity)</t>
        </is>
      </c>
      <c r="BD10" t="inlineStr"/>
      <c r="BE10" t="inlineStr">
        <is>
          <t>23/05/2024</t>
        </is>
      </c>
    </row>
    <row r="11">
      <c r="A11" t="inlineStr">
        <is>
          <t>Active</t>
        </is>
      </c>
      <c r="B11" t="inlineStr">
        <is>
          <t>-</t>
        </is>
      </c>
      <c r="C11" t="inlineStr">
        <is>
          <t>Family Office</t>
        </is>
      </c>
      <c r="D11" t="n">
        <v>1964903.98</v>
      </c>
      <c r="E11" t="inlineStr">
        <is>
          <t>TBD</t>
        </is>
      </c>
      <c r="F11" t="inlineStr">
        <is>
          <t>Q3 follow-up</t>
        </is>
      </c>
      <c r="G11" t="inlineStr"/>
      <c r="H11" t="inlineStr">
        <is>
          <t>Y</t>
        </is>
      </c>
      <c r="I11" t="inlineStr">
        <is>
          <t>2024-09-30</t>
        </is>
      </c>
      <c r="J11" t="inlineStr">
        <is>
          <t>See file</t>
        </is>
      </c>
      <c r="K11" t="inlineStr">
        <is>
          <t>Davis,</t>
        </is>
      </c>
      <c r="M11" t="inlineStr">
        <is>
          <t>12/23/16</t>
        </is>
      </c>
      <c r="N11" t="inlineStr">
        <is>
          <t>1,739.05</t>
        </is>
      </c>
      <c r="O11" t="inlineStr">
        <is>
          <t>High</t>
        </is>
      </c>
      <c r="P11" t="inlineStr">
        <is>
          <t>INV0000007</t>
        </is>
      </c>
      <c r="Q11" t="inlineStr">
        <is>
          <t>Low</t>
        </is>
      </c>
      <c r="R11" t="inlineStr">
        <is>
          <t>Moderate</t>
        </is>
      </c>
      <c r="S11" t="inlineStr">
        <is>
          <t>CHF</t>
        </is>
      </c>
      <c r="T11" t="inlineStr">
        <is>
          <t>Qatar</t>
        </is>
      </c>
      <c r="U11" t="inlineStr">
        <is>
          <t>N/A</t>
        </is>
      </c>
      <c r="V11" t="inlineStr">
        <is>
          <t>Pending</t>
        </is>
      </c>
      <c r="W11" t="inlineStr">
        <is>
          <t>High</t>
        </is>
      </c>
      <c r="X11" t="n">
        <v>4750420.34</v>
      </c>
      <c r="Y11" t="inlineStr">
        <is>
          <t>-</t>
        </is>
      </c>
      <c r="Z11" t="inlineStr">
        <is>
          <t>Low</t>
        </is>
      </c>
      <c r="AA11" t="inlineStr">
        <is>
          <t>-</t>
        </is>
      </c>
      <c r="AB11" t="inlineStr">
        <is>
          <t>No</t>
        </is>
      </c>
      <c r="AC11" t="inlineStr">
        <is>
          <t>High</t>
        </is>
      </c>
      <c r="AD11" t="inlineStr">
        <is>
          <t>Davis, Atkins and Sullivan 0003</t>
        </is>
      </c>
      <c r="AE11" t="inlineStr">
        <is>
          <t>High</t>
        </is>
      </c>
      <c r="AF11" t="inlineStr">
        <is>
          <t>No</t>
        </is>
      </c>
      <c r="AG11" t="inlineStr">
        <is>
          <t>Standard</t>
        </is>
      </c>
      <c r="AH11" t="n">
        <v>355299.78</v>
      </c>
      <c r="AI11" t="inlineStr">
        <is>
          <t>-</t>
        </is>
      </c>
      <c r="AJ11" t="inlineStr">
        <is>
          <t>See file</t>
        </is>
      </c>
      <c r="AK11" t="inlineStr">
        <is>
          <t>TBC</t>
        </is>
      </c>
      <c r="AL11" t="inlineStr">
        <is>
          <t>N</t>
        </is>
      </c>
      <c r="AM11" t="inlineStr">
        <is>
          <t>-</t>
        </is>
      </c>
      <c r="AN11" t="inlineStr">
        <is>
          <t>Y</t>
        </is>
      </c>
      <c r="AO11" t="inlineStr">
        <is>
          <t>n/a</t>
        </is>
      </c>
      <c r="AP11" t="n">
        <v>32139.6</v>
      </c>
      <c r="AQ11" t="inlineStr">
        <is>
          <t>Low</t>
        </is>
      </c>
      <c r="AR11" t="inlineStr"/>
      <c r="AS11" t="inlineStr"/>
      <c r="AU11" t="inlineStr">
        <is>
          <t>TBD</t>
        </is>
      </c>
      <c r="AV11" t="inlineStr">
        <is>
          <t>user249@example.org</t>
        </is>
      </c>
      <c r="AW11">
        <f>ROW()*7</f>
        <v/>
      </c>
      <c r="AY11" t="inlineStr">
        <is>
          <t>High</t>
        </is>
      </c>
      <c r="AZ11" t="inlineStr"/>
      <c r="BA11" t="inlineStr">
        <is>
          <t>-</t>
        </is>
      </c>
      <c r="BB11" t="inlineStr">
        <is>
          <t>Davis, Atkins and Sullivan 0003 (Legal Entity)</t>
        </is>
      </c>
      <c r="BD11" t="inlineStr">
        <is>
          <t>n/a</t>
        </is>
      </c>
      <c r="BE11" t="inlineStr">
        <is>
          <t>03/29/20</t>
        </is>
      </c>
    </row>
    <row r="12">
      <c r="A12" t="inlineStr">
        <is>
          <t>Active</t>
        </is>
      </c>
      <c r="B12" t="inlineStr">
        <is>
          <t>n/a</t>
        </is>
      </c>
      <c r="C12" t="inlineStr">
        <is>
          <t>Sovereign Wealth Fund</t>
        </is>
      </c>
      <c r="D12" t="n">
        <v>3133058.09</v>
      </c>
      <c r="E12" t="n">
        <v>2438011.77</v>
      </c>
      <c r="F12" t="inlineStr">
        <is>
          <t>Standard</t>
        </is>
      </c>
      <c r="G12" t="inlineStr">
        <is>
          <t>Low</t>
        </is>
      </c>
      <c r="H12" t="inlineStr">
        <is>
          <t>No</t>
        </is>
      </c>
      <c r="I12" t="inlineStr">
        <is>
          <t>07/20/23</t>
        </is>
      </c>
      <c r="J12" t="inlineStr">
        <is>
          <t>-</t>
        </is>
      </c>
      <c r="K12" t="inlineStr">
        <is>
          <t>Ruiz-Gutierrez</t>
        </is>
      </c>
      <c r="M12" t="inlineStr">
        <is>
          <t>2018-04-11</t>
        </is>
      </c>
      <c r="N12" t="inlineStr">
        <is>
          <t>2,534.15</t>
        </is>
      </c>
      <c r="O12" t="inlineStr">
        <is>
          <t>-</t>
        </is>
      </c>
      <c r="P12" t="inlineStr">
        <is>
          <t>INV0000008</t>
        </is>
      </c>
      <c r="Q12" t="inlineStr">
        <is>
          <t>Standard</t>
        </is>
      </c>
      <c r="R12" t="inlineStr">
        <is>
          <t>Moderate</t>
        </is>
      </c>
      <c r="S12" t="inlineStr">
        <is>
          <t>GBP</t>
        </is>
      </c>
      <c r="T12" t="inlineStr">
        <is>
          <t>Canada</t>
        </is>
      </c>
      <c r="U12" t="n">
        <v>2089515.08</v>
      </c>
      <c r="V12" t="inlineStr">
        <is>
          <t>Standard</t>
        </is>
      </c>
      <c r="W12" t="inlineStr">
        <is>
          <t>TBC</t>
        </is>
      </c>
      <c r="X12" t="n">
        <v>4739881.9</v>
      </c>
      <c r="Y12" t="inlineStr">
        <is>
          <t>See file</t>
        </is>
      </c>
      <c r="Z12" t="inlineStr">
        <is>
          <t>See file</t>
        </is>
      </c>
      <c r="AA12" t="inlineStr">
        <is>
          <t>Standard</t>
        </is>
      </c>
      <c r="AB12" t="inlineStr">
        <is>
          <t>N</t>
        </is>
      </c>
      <c r="AC12" t="inlineStr"/>
      <c r="AD12" t="inlineStr">
        <is>
          <t>Ruiz-Gutierrez 0004</t>
        </is>
      </c>
      <c r="AE12" t="inlineStr">
        <is>
          <t>See file</t>
        </is>
      </c>
      <c r="AF12" t="inlineStr">
        <is>
          <t>N</t>
        </is>
      </c>
      <c r="AG12" t="inlineStr">
        <is>
          <t>See file</t>
        </is>
      </c>
      <c r="AH12" t="n">
        <v>2910993.73</v>
      </c>
      <c r="AI12" t="inlineStr">
        <is>
          <t>Q3 follow-up</t>
        </is>
      </c>
      <c r="AJ12" t="inlineStr">
        <is>
          <t>High</t>
        </is>
      </c>
      <c r="AK12" t="inlineStr">
        <is>
          <t>High</t>
        </is>
      </c>
      <c r="AL12" t="inlineStr">
        <is>
          <t>n/a</t>
        </is>
      </c>
      <c r="AM12" t="inlineStr">
        <is>
          <t>TBC</t>
        </is>
      </c>
      <c r="AN12" t="inlineStr">
        <is>
          <t>N</t>
        </is>
      </c>
      <c r="AO12" t="inlineStr">
        <is>
          <t>N</t>
        </is>
      </c>
      <c r="AP12" t="n">
        <v>30086.34</v>
      </c>
      <c r="AQ12" t="inlineStr">
        <is>
          <t>See file</t>
        </is>
      </c>
      <c r="AR12" t="inlineStr">
        <is>
          <t>High</t>
        </is>
      </c>
      <c r="AS12" t="inlineStr">
        <is>
          <t>Q3 follow-up</t>
        </is>
      </c>
      <c r="AU12" t="n">
        <v>1544945.68</v>
      </c>
      <c r="AV12" t="inlineStr">
        <is>
          <t>user747@example.org</t>
        </is>
      </c>
      <c r="AW12">
        <f>ROW()*4</f>
        <v/>
      </c>
      <c r="AY12" t="inlineStr">
        <is>
          <t>Q3 follow-up</t>
        </is>
      </c>
      <c r="AZ12" t="inlineStr">
        <is>
          <t>High</t>
        </is>
      </c>
      <c r="BA12" t="inlineStr">
        <is>
          <t>Q3 follow-up</t>
        </is>
      </c>
      <c r="BB12" t="inlineStr">
        <is>
          <t>Ruiz-Gutierrez 0004 (Legal Entity)</t>
        </is>
      </c>
      <c r="BD12" t="inlineStr">
        <is>
          <t>Yes</t>
        </is>
      </c>
      <c r="BE12" t="inlineStr">
        <is>
          <t>04-Dec-2024</t>
        </is>
      </c>
    </row>
    <row r="13">
      <c r="A13" t="inlineStr">
        <is>
          <t>Active</t>
        </is>
      </c>
      <c r="B13" t="n">
        <v>3466304.14</v>
      </c>
      <c r="C13" t="inlineStr">
        <is>
          <t>High Net Worth Individual</t>
        </is>
      </c>
      <c r="D13" t="inlineStr">
        <is>
          <t>--</t>
        </is>
      </c>
      <c r="E13" t="n">
        <v>2186817.88</v>
      </c>
      <c r="F13" t="inlineStr">
        <is>
          <t>High</t>
        </is>
      </c>
      <c r="G13" t="inlineStr">
        <is>
          <t>Standard</t>
        </is>
      </c>
      <c r="H13" t="inlineStr">
        <is>
          <t>Yes</t>
        </is>
      </c>
      <c r="I13" t="inlineStr">
        <is>
          <t>01-Feb-2023</t>
        </is>
      </c>
      <c r="J13" t="inlineStr">
        <is>
          <t>Standard</t>
        </is>
      </c>
      <c r="K13" t="inlineStr">
        <is>
          <t>Douglas,</t>
        </is>
      </c>
      <c r="M13" t="inlineStr">
        <is>
          <t>11/17/18</t>
        </is>
      </c>
      <c r="N13" t="n">
        <v>3238.1242</v>
      </c>
      <c r="O13" t="inlineStr">
        <is>
          <t>-</t>
        </is>
      </c>
      <c r="P13" t="inlineStr">
        <is>
          <t>INV0000009</t>
        </is>
      </c>
      <c r="Q13" t="inlineStr">
        <is>
          <t>Reviewed</t>
        </is>
      </c>
      <c r="R13" t="inlineStr">
        <is>
          <t>Moderate</t>
        </is>
      </c>
      <c r="S13" t="inlineStr">
        <is>
          <t>USD</t>
        </is>
      </c>
      <c r="T13" t="inlineStr">
        <is>
          <t>Trinidad and Tobago</t>
        </is>
      </c>
      <c r="U13" t="n">
        <v>3782024.39</v>
      </c>
      <c r="V13" t="inlineStr">
        <is>
          <t>Low</t>
        </is>
      </c>
      <c r="W13" t="inlineStr">
        <is>
          <t>High</t>
        </is>
      </c>
      <c r="X13" t="n">
        <v>4666567.33</v>
      </c>
      <c r="Y13" t="inlineStr">
        <is>
          <t>Q3 follow-up</t>
        </is>
      </c>
      <c r="Z13" t="inlineStr">
        <is>
          <t>See file</t>
        </is>
      </c>
      <c r="AA13" t="inlineStr">
        <is>
          <t>TBC</t>
        </is>
      </c>
      <c r="AB13" t="inlineStr">
        <is>
          <t>Yes</t>
        </is>
      </c>
      <c r="AC13" t="inlineStr">
        <is>
          <t>Q3 follow-up</t>
        </is>
      </c>
      <c r="AD13" t="inlineStr">
        <is>
          <t>Douglas, Johnson and Gamble 0039</t>
        </is>
      </c>
      <c r="AE13" t="inlineStr">
        <is>
          <t>Q3 follow-up</t>
        </is>
      </c>
      <c r="AF13" t="inlineStr">
        <is>
          <t>TRUE</t>
        </is>
      </c>
      <c r="AG13" t="inlineStr">
        <is>
          <t>TBC</t>
        </is>
      </c>
      <c r="AH13" t="n">
        <v>458269.16</v>
      </c>
      <c r="AI13" t="inlineStr">
        <is>
          <t>TBC</t>
        </is>
      </c>
      <c r="AJ13" t="inlineStr">
        <is>
          <t>See file</t>
        </is>
      </c>
      <c r="AK13" t="inlineStr">
        <is>
          <t>See file</t>
        </is>
      </c>
      <c r="AL13" t="inlineStr">
        <is>
          <t>TRUE</t>
        </is>
      </c>
      <c r="AM13" t="inlineStr">
        <is>
          <t>Pending</t>
        </is>
      </c>
      <c r="AN13" t="inlineStr">
        <is>
          <t>Yes</t>
        </is>
      </c>
      <c r="AO13" t="inlineStr">
        <is>
          <t>N</t>
        </is>
      </c>
      <c r="AP13" t="n">
        <v>7285.88</v>
      </c>
      <c r="AQ13" t="inlineStr">
        <is>
          <t>Reviewed</t>
        </is>
      </c>
      <c r="AR13" t="inlineStr">
        <is>
          <t>-</t>
        </is>
      </c>
      <c r="AS13" t="inlineStr">
        <is>
          <t>Low</t>
        </is>
      </c>
      <c r="AU13" t="n">
        <v>2921385.17</v>
      </c>
      <c r="AV13" t="inlineStr">
        <is>
          <t>user970@example.org</t>
        </is>
      </c>
      <c r="AW13">
        <f>ROW()*2</f>
        <v/>
      </c>
      <c r="AY13" t="inlineStr">
        <is>
          <t>-</t>
        </is>
      </c>
      <c r="AZ13" t="inlineStr">
        <is>
          <t>Low</t>
        </is>
      </c>
      <c r="BA13" t="inlineStr">
        <is>
          <t>See file</t>
        </is>
      </c>
      <c r="BB13" t="inlineStr">
        <is>
          <t>Douglas, Johnson and Gamble 0039 (Legal Entity)</t>
        </is>
      </c>
      <c r="BD13" t="inlineStr">
        <is>
          <t>Y</t>
        </is>
      </c>
      <c r="BE13" t="inlineStr">
        <is>
          <t>07-Jan-2020</t>
        </is>
      </c>
    </row>
    <row r="14">
      <c r="A14" t="inlineStr">
        <is>
          <t>Active</t>
        </is>
      </c>
      <c r="B14" t="inlineStr">
        <is>
          <t>TBD</t>
        </is>
      </c>
      <c r="C14" t="inlineStr">
        <is>
          <t>Pension Fund</t>
        </is>
      </c>
      <c r="D14" t="n">
        <v>104843.04</v>
      </c>
      <c r="E14" t="n">
        <v>983328.1</v>
      </c>
      <c r="F14" t="inlineStr">
        <is>
          <t>Q3 follow-up</t>
        </is>
      </c>
      <c r="G14" t="inlineStr"/>
      <c r="H14" t="inlineStr"/>
      <c r="I14" t="inlineStr">
        <is>
          <t>2023-02-05</t>
        </is>
      </c>
      <c r="J14" t="inlineStr">
        <is>
          <t>Standard</t>
        </is>
      </c>
      <c r="K14" t="inlineStr">
        <is>
          <t>Smith-Maxwell</t>
        </is>
      </c>
      <c r="M14" t="inlineStr">
        <is>
          <t>2024-02-19</t>
        </is>
      </c>
      <c r="N14" t="n">
        <v>4797.818</v>
      </c>
      <c r="O14" t="inlineStr">
        <is>
          <t>Q3 follow-up</t>
        </is>
      </c>
      <c r="P14" t="inlineStr">
        <is>
          <t>INV0000010</t>
        </is>
      </c>
      <c r="Q14" t="inlineStr">
        <is>
          <t>TBC</t>
        </is>
      </c>
      <c r="R14" t="inlineStr">
        <is>
          <t>Conservative</t>
        </is>
      </c>
      <c r="S14" t="inlineStr">
        <is>
          <t>CHF</t>
        </is>
      </c>
      <c r="T14" t="inlineStr">
        <is>
          <t>Zambia</t>
        </is>
      </c>
      <c r="U14" t="inlineStr">
        <is>
          <t>n/a</t>
        </is>
      </c>
      <c r="V14" t="inlineStr"/>
      <c r="W14" t="inlineStr">
        <is>
          <t>High</t>
        </is>
      </c>
      <c r="X14" t="n">
        <v>1935296.81</v>
      </c>
      <c r="Y14" t="inlineStr">
        <is>
          <t>High</t>
        </is>
      </c>
      <c r="Z14" t="inlineStr">
        <is>
          <t>Q3 follow-up</t>
        </is>
      </c>
      <c r="AA14" t="inlineStr">
        <is>
          <t>-</t>
        </is>
      </c>
      <c r="AB14" t="inlineStr">
        <is>
          <t>No</t>
        </is>
      </c>
      <c r="AC14" t="inlineStr">
        <is>
          <t>Reviewed</t>
        </is>
      </c>
      <c r="AD14" t="inlineStr">
        <is>
          <t>Smith-Maxwell 0000</t>
        </is>
      </c>
      <c r="AE14" t="inlineStr">
        <is>
          <t>Reviewed</t>
        </is>
      </c>
      <c r="AF14" t="inlineStr">
        <is>
          <t>Yes</t>
        </is>
      </c>
      <c r="AG14" t="inlineStr">
        <is>
          <t>-</t>
        </is>
      </c>
      <c r="AH14" t="n">
        <v>797234.16</v>
      </c>
      <c r="AI14" t="inlineStr"/>
      <c r="AJ14" t="inlineStr">
        <is>
          <t>TBC</t>
        </is>
      </c>
      <c r="AK14" t="inlineStr">
        <is>
          <t>Low</t>
        </is>
      </c>
      <c r="AL14" t="inlineStr"/>
      <c r="AM14" t="inlineStr"/>
      <c r="AN14" t="inlineStr">
        <is>
          <t>No</t>
        </is>
      </c>
      <c r="AO14" t="inlineStr">
        <is>
          <t>N</t>
        </is>
      </c>
      <c r="AP14" t="inlineStr">
        <is>
          <t>28,846.62</t>
        </is>
      </c>
      <c r="AQ14" t="inlineStr">
        <is>
          <t>-</t>
        </is>
      </c>
      <c r="AR14" t="inlineStr">
        <is>
          <t>See file</t>
        </is>
      </c>
      <c r="AS14" t="inlineStr">
        <is>
          <t>High</t>
        </is>
      </c>
      <c r="AU14" t="n">
        <v>457805.73</v>
      </c>
      <c r="AV14" t="inlineStr">
        <is>
          <t>user57@example.org</t>
        </is>
      </c>
      <c r="AW14">
        <f>ROW()*6</f>
        <v/>
      </c>
      <c r="AY14" t="inlineStr">
        <is>
          <t>See file</t>
        </is>
      </c>
      <c r="AZ14" t="inlineStr">
        <is>
          <t>Low</t>
        </is>
      </c>
      <c r="BA14" t="inlineStr">
        <is>
          <t>TBC</t>
        </is>
      </c>
      <c r="BB14" t="inlineStr">
        <is>
          <t>Smith-Maxwell 0000 (Legal Entity)</t>
        </is>
      </c>
      <c r="BD14" t="inlineStr"/>
      <c r="BE14" t="inlineStr">
        <is>
          <t>23-Jun-2022</t>
        </is>
      </c>
    </row>
    <row r="15">
      <c r="A15" t="inlineStr">
        <is>
          <t>Active</t>
        </is>
      </c>
      <c r="B15" t="n">
        <v>4130194.8</v>
      </c>
      <c r="C15" t="inlineStr">
        <is>
          <t>Pension Fund</t>
        </is>
      </c>
      <c r="D15" t="n">
        <v>4816121.61</v>
      </c>
      <c r="E15" t="n">
        <v>271249.47</v>
      </c>
      <c r="F15" t="inlineStr"/>
      <c r="G15" t="inlineStr">
        <is>
          <t>Q3 follow-up</t>
        </is>
      </c>
      <c r="H15" t="inlineStr">
        <is>
          <t>TRUE</t>
        </is>
      </c>
      <c r="I15" t="inlineStr">
        <is>
          <t>2021-02-02</t>
        </is>
      </c>
      <c r="J15" t="inlineStr"/>
      <c r="K15" t="inlineStr">
        <is>
          <t>Holland-Crawford</t>
        </is>
      </c>
      <c r="M15" t="inlineStr">
        <is>
          <t>2023-02-19</t>
        </is>
      </c>
      <c r="N15" t="n">
        <v>4673.0249</v>
      </c>
      <c r="O15" t="inlineStr">
        <is>
          <t>-</t>
        </is>
      </c>
      <c r="P15" t="inlineStr">
        <is>
          <t>INV0000011</t>
        </is>
      </c>
      <c r="Q15" t="inlineStr">
        <is>
          <t>Low</t>
        </is>
      </c>
      <c r="R15" t="inlineStr">
        <is>
          <t>Moderate</t>
        </is>
      </c>
      <c r="S15" t="inlineStr">
        <is>
          <t>USD</t>
        </is>
      </c>
      <c r="T15" t="inlineStr">
        <is>
          <t>Cote d'Ivoire</t>
        </is>
      </c>
      <c r="U15" t="n">
        <v>2835559.88</v>
      </c>
      <c r="V15" t="inlineStr">
        <is>
          <t>-</t>
        </is>
      </c>
      <c r="W15" t="inlineStr">
        <is>
          <t>See file</t>
        </is>
      </c>
      <c r="X15" t="n">
        <v>226975.26</v>
      </c>
      <c r="Y15" t="inlineStr">
        <is>
          <t>TBC</t>
        </is>
      </c>
      <c r="Z15" t="inlineStr">
        <is>
          <t>Reviewed</t>
        </is>
      </c>
      <c r="AA15" t="inlineStr">
        <is>
          <t>TBC</t>
        </is>
      </c>
      <c r="AB15" t="inlineStr">
        <is>
          <t>n/a</t>
        </is>
      </c>
      <c r="AC15" t="inlineStr">
        <is>
          <t>Pending</t>
        </is>
      </c>
      <c r="AD15" t="inlineStr">
        <is>
          <t>Holland-Crawford 0008</t>
        </is>
      </c>
      <c r="AE15" t="inlineStr"/>
      <c r="AF15" t="inlineStr">
        <is>
          <t>N</t>
        </is>
      </c>
      <c r="AG15" t="inlineStr">
        <is>
          <t>Reviewed</t>
        </is>
      </c>
      <c r="AH15" t="n">
        <v>177795.52</v>
      </c>
      <c r="AI15" t="inlineStr">
        <is>
          <t>Low</t>
        </is>
      </c>
      <c r="AJ15" t="inlineStr">
        <is>
          <t>Q3 follow-up</t>
        </is>
      </c>
      <c r="AK15" t="inlineStr">
        <is>
          <t>See file</t>
        </is>
      </c>
      <c r="AL15" t="inlineStr">
        <is>
          <t>Yes</t>
        </is>
      </c>
      <c r="AM15" t="inlineStr">
        <is>
          <t>-</t>
        </is>
      </c>
      <c r="AN15" t="inlineStr"/>
      <c r="AO15" t="inlineStr"/>
      <c r="AP15" t="n">
        <v>31632.12</v>
      </c>
      <c r="AQ15" t="inlineStr">
        <is>
          <t>High</t>
        </is>
      </c>
      <c r="AR15" t="inlineStr">
        <is>
          <t>See file</t>
        </is>
      </c>
      <c r="AS15" t="inlineStr"/>
      <c r="AU15" t="n">
        <v>3905807.17</v>
      </c>
      <c r="AV15" t="inlineStr">
        <is>
          <t>user719@example.org</t>
        </is>
      </c>
      <c r="AW15">
        <f>ROW()*2</f>
        <v/>
      </c>
      <c r="AY15" t="inlineStr">
        <is>
          <t>High</t>
        </is>
      </c>
      <c r="AZ15" t="inlineStr">
        <is>
          <t>High</t>
        </is>
      </c>
      <c r="BA15" t="inlineStr">
        <is>
          <t>High</t>
        </is>
      </c>
      <c r="BB15" t="inlineStr">
        <is>
          <t>Holland-Crawford 0008 (Legal Entity)</t>
        </is>
      </c>
      <c r="BD15" t="inlineStr">
        <is>
          <t>n/a</t>
        </is>
      </c>
      <c r="BE15" t="inlineStr">
        <is>
          <t>16/09/2022</t>
        </is>
      </c>
    </row>
    <row r="16">
      <c r="A16" t="inlineStr">
        <is>
          <t>Active</t>
        </is>
      </c>
      <c r="B16" t="n">
        <v>1850611.53</v>
      </c>
      <c r="C16" t="inlineStr">
        <is>
          <t>Pension Fund</t>
        </is>
      </c>
      <c r="D16" t="n">
        <v>4208262.44</v>
      </c>
      <c r="E16" t="inlineStr">
        <is>
          <t>--</t>
        </is>
      </c>
      <c r="F16" t="inlineStr">
        <is>
          <t>Reviewed</t>
        </is>
      </c>
      <c r="G16" t="inlineStr">
        <is>
          <t>Standard</t>
        </is>
      </c>
      <c r="H16" t="inlineStr">
        <is>
          <t>Yes</t>
        </is>
      </c>
      <c r="I16" t="inlineStr">
        <is>
          <t>12-Aug-2021</t>
        </is>
      </c>
      <c r="J16" t="inlineStr"/>
      <c r="K16" t="inlineStr">
        <is>
          <t>Patterson-Gutierrez</t>
        </is>
      </c>
      <c r="M16" t="inlineStr">
        <is>
          <t>2020-09-28</t>
        </is>
      </c>
      <c r="N16" t="inlineStr">
        <is>
          <t>188.98</t>
        </is>
      </c>
      <c r="O16" t="inlineStr">
        <is>
          <t>Pending</t>
        </is>
      </c>
      <c r="P16" t="inlineStr">
        <is>
          <t>INV0000012</t>
        </is>
      </c>
      <c r="Q16" t="inlineStr">
        <is>
          <t>See file</t>
        </is>
      </c>
      <c r="R16" t="inlineStr">
        <is>
          <t>Aggressive</t>
        </is>
      </c>
      <c r="S16" t="inlineStr">
        <is>
          <t>EUR</t>
        </is>
      </c>
      <c r="T16" t="inlineStr">
        <is>
          <t>Holy See (Vatican City State)</t>
        </is>
      </c>
      <c r="U16" t="n">
        <v>4901618.82</v>
      </c>
      <c r="V16" t="inlineStr">
        <is>
          <t>TBC</t>
        </is>
      </c>
      <c r="W16" t="inlineStr">
        <is>
          <t>Standard</t>
        </is>
      </c>
      <c r="X16" t="n">
        <v>2892095.8</v>
      </c>
      <c r="Y16" t="inlineStr">
        <is>
          <t>-</t>
        </is>
      </c>
      <c r="Z16" t="inlineStr">
        <is>
          <t>High</t>
        </is>
      </c>
      <c r="AA16" t="inlineStr">
        <is>
          <t>TBC</t>
        </is>
      </c>
      <c r="AB16" t="inlineStr">
        <is>
          <t>TRUE</t>
        </is>
      </c>
      <c r="AC16" t="inlineStr">
        <is>
          <t>TBC</t>
        </is>
      </c>
      <c r="AD16" t="inlineStr">
        <is>
          <t>Patterson-Gutierrez 0001</t>
        </is>
      </c>
      <c r="AE16" t="inlineStr">
        <is>
          <t>Q3 follow-up</t>
        </is>
      </c>
      <c r="AF16" t="inlineStr">
        <is>
          <t>Yes</t>
        </is>
      </c>
      <c r="AG16" t="inlineStr"/>
      <c r="AH16" t="n">
        <v>3542332.04</v>
      </c>
      <c r="AI16" t="inlineStr">
        <is>
          <t>Standard</t>
        </is>
      </c>
      <c r="AJ16" t="inlineStr">
        <is>
          <t>High</t>
        </is>
      </c>
      <c r="AK16" t="inlineStr">
        <is>
          <t>Q3 follow-up</t>
        </is>
      </c>
      <c r="AL16" t="inlineStr">
        <is>
          <t>Y</t>
        </is>
      </c>
      <c r="AM16" t="inlineStr">
        <is>
          <t>Q3 follow-up</t>
        </is>
      </c>
      <c r="AN16" t="inlineStr">
        <is>
          <t>No</t>
        </is>
      </c>
      <c r="AO16" t="inlineStr">
        <is>
          <t>Yes</t>
        </is>
      </c>
      <c r="AP16" t="n">
        <v>49544.16</v>
      </c>
      <c r="AQ16" t="inlineStr">
        <is>
          <t>Pending</t>
        </is>
      </c>
      <c r="AR16" t="inlineStr">
        <is>
          <t>Q3 follow-up</t>
        </is>
      </c>
      <c r="AS16" t="inlineStr">
        <is>
          <t>See file</t>
        </is>
      </c>
      <c r="AU16" t="n">
        <v>2568853.03</v>
      </c>
      <c r="AV16" t="inlineStr">
        <is>
          <t>user631@example.org</t>
        </is>
      </c>
      <c r="AW16">
        <f>ROW()*4</f>
        <v/>
      </c>
      <c r="AY16" t="inlineStr"/>
      <c r="AZ16" t="inlineStr"/>
      <c r="BA16" t="inlineStr">
        <is>
          <t>Low</t>
        </is>
      </c>
      <c r="BB16" t="inlineStr">
        <is>
          <t>Patterson-Gutierrez 0001 (Legal Entity)</t>
        </is>
      </c>
      <c r="BD16" t="inlineStr">
        <is>
          <t>Y</t>
        </is>
      </c>
      <c r="BE16" t="inlineStr">
        <is>
          <t>2020-06-21</t>
        </is>
      </c>
    </row>
    <row r="17">
      <c r="A17" t="inlineStr">
        <is>
          <t>Inactive</t>
        </is>
      </c>
      <c r="B17" t="n">
        <v>2225180.06</v>
      </c>
      <c r="C17" t="inlineStr">
        <is>
          <t>High Net Worth Individual</t>
        </is>
      </c>
      <c r="D17" t="n">
        <v>3228340.5</v>
      </c>
      <c r="E17" t="n">
        <v>2718764.9</v>
      </c>
      <c r="F17" t="inlineStr">
        <is>
          <t>Standard</t>
        </is>
      </c>
      <c r="G17" t="inlineStr">
        <is>
          <t>Low</t>
        </is>
      </c>
      <c r="H17" t="inlineStr">
        <is>
          <t>Y</t>
        </is>
      </c>
      <c r="I17" t="inlineStr">
        <is>
          <t>2020-06-08</t>
        </is>
      </c>
      <c r="J17" t="inlineStr">
        <is>
          <t>Q3 follow-up</t>
        </is>
      </c>
      <c r="K17" t="inlineStr">
        <is>
          <t>Cooper,</t>
        </is>
      </c>
      <c r="M17" t="inlineStr">
        <is>
          <t>01/04/2019</t>
        </is>
      </c>
      <c r="N17" t="inlineStr">
        <is>
          <t>1,736.87</t>
        </is>
      </c>
      <c r="O17" t="inlineStr">
        <is>
          <t>TBC</t>
        </is>
      </c>
      <c r="P17" t="inlineStr">
        <is>
          <t>INV0000014</t>
        </is>
      </c>
      <c r="Q17" t="inlineStr">
        <is>
          <t>TBC</t>
        </is>
      </c>
      <c r="R17" t="inlineStr">
        <is>
          <t>Moderate</t>
        </is>
      </c>
      <c r="S17" t="inlineStr">
        <is>
          <t>USD</t>
        </is>
      </c>
      <c r="T17" t="inlineStr">
        <is>
          <t>Martinique</t>
        </is>
      </c>
      <c r="U17" t="n">
        <v>2519904.55</v>
      </c>
      <c r="V17" t="inlineStr">
        <is>
          <t>-</t>
        </is>
      </c>
      <c r="W17" t="inlineStr">
        <is>
          <t>See file</t>
        </is>
      </c>
      <c r="X17" t="n">
        <v>408209.97</v>
      </c>
      <c r="Y17" t="inlineStr">
        <is>
          <t>Standard</t>
        </is>
      </c>
      <c r="Z17" t="inlineStr"/>
      <c r="AA17" t="inlineStr">
        <is>
          <t>High</t>
        </is>
      </c>
      <c r="AB17" t="inlineStr">
        <is>
          <t>Yes</t>
        </is>
      </c>
      <c r="AC17" t="inlineStr">
        <is>
          <t>Pending</t>
        </is>
      </c>
      <c r="AD17" t="inlineStr">
        <is>
          <t>Cooper, Jacobs and Gonzalez 0027 Ltd</t>
        </is>
      </c>
      <c r="AE17" t="inlineStr">
        <is>
          <t>Q3 follow-up</t>
        </is>
      </c>
      <c r="AF17" t="inlineStr"/>
      <c r="AG17" t="inlineStr">
        <is>
          <t>See file</t>
        </is>
      </c>
      <c r="AH17" t="n">
        <v>1920267.93</v>
      </c>
      <c r="AI17" t="inlineStr">
        <is>
          <t>Reviewed</t>
        </is>
      </c>
      <c r="AJ17" t="inlineStr"/>
      <c r="AK17" t="inlineStr">
        <is>
          <t>Q3 follow-up</t>
        </is>
      </c>
      <c r="AL17" t="inlineStr">
        <is>
          <t>n/a</t>
        </is>
      </c>
      <c r="AM17" t="inlineStr">
        <is>
          <t>Q3 follow-up</t>
        </is>
      </c>
      <c r="AN17" t="inlineStr">
        <is>
          <t>Yes</t>
        </is>
      </c>
      <c r="AO17" t="inlineStr"/>
      <c r="AP17" t="n">
        <v>5926.08</v>
      </c>
      <c r="AQ17" t="inlineStr">
        <is>
          <t>High</t>
        </is>
      </c>
      <c r="AR17" t="inlineStr">
        <is>
          <t>-</t>
        </is>
      </c>
      <c r="AS17" t="inlineStr">
        <is>
          <t>Standard</t>
        </is>
      </c>
      <c r="AU17" t="n">
        <v>385575.2</v>
      </c>
      <c r="AV17" t="inlineStr">
        <is>
          <t>user238@example.org</t>
        </is>
      </c>
      <c r="AW17">
        <f>ROW()*6</f>
        <v/>
      </c>
      <c r="AY17" t="inlineStr"/>
      <c r="AZ17" t="inlineStr">
        <is>
          <t>See file</t>
        </is>
      </c>
      <c r="BA17" t="inlineStr">
        <is>
          <t>Low</t>
        </is>
      </c>
      <c r="BB17" t="inlineStr">
        <is>
          <t>Cooper, Jacobs and Gonzalez 0027 Ltd (Legal Entity)</t>
        </is>
      </c>
      <c r="BD17" t="inlineStr">
        <is>
          <t>No</t>
        </is>
      </c>
      <c r="BE17" t="inlineStr">
        <is>
          <t>20-Jan-2021</t>
        </is>
      </c>
    </row>
    <row r="18">
      <c r="A18" t="inlineStr">
        <is>
          <t>Active</t>
        </is>
      </c>
      <c r="B18" t="n">
        <v>2546815.75</v>
      </c>
      <c r="C18" t="inlineStr">
        <is>
          <t>Fund of Funds</t>
        </is>
      </c>
      <c r="D18" t="n">
        <v>1461376.4</v>
      </c>
      <c r="E18" t="n">
        <v>3477966.77</v>
      </c>
      <c r="F18" t="inlineStr">
        <is>
          <t>-</t>
        </is>
      </c>
      <c r="G18" t="inlineStr"/>
      <c r="H18" t="inlineStr">
        <is>
          <t>TRUE</t>
        </is>
      </c>
      <c r="I18" t="inlineStr">
        <is>
          <t>2023-03-08</t>
        </is>
      </c>
      <c r="J18" t="inlineStr">
        <is>
          <t>See file</t>
        </is>
      </c>
      <c r="K18" t="inlineStr">
        <is>
          <t>Miller</t>
        </is>
      </c>
      <c r="M18" t="inlineStr">
        <is>
          <t>23-Mar-2026</t>
        </is>
      </c>
      <c r="N18" t="inlineStr">
        <is>
          <t>1,367.00</t>
        </is>
      </c>
      <c r="O18" t="inlineStr">
        <is>
          <t>Standard</t>
        </is>
      </c>
      <c r="P18" t="inlineStr">
        <is>
          <t>INV0000013</t>
        </is>
      </c>
      <c r="Q18" t="inlineStr">
        <is>
          <t>Low</t>
        </is>
      </c>
      <c r="R18" t="inlineStr">
        <is>
          <t>Moderate</t>
        </is>
      </c>
      <c r="S18" t="inlineStr">
        <is>
          <t>USD</t>
        </is>
      </c>
      <c r="T18" t="inlineStr">
        <is>
          <t>Cuba</t>
        </is>
      </c>
      <c r="U18" t="n">
        <v>3668505.05</v>
      </c>
      <c r="V18" t="inlineStr"/>
      <c r="W18" t="inlineStr">
        <is>
          <t>Standard</t>
        </is>
      </c>
      <c r="X18" t="n">
        <v>408206.83</v>
      </c>
      <c r="Y18" t="inlineStr"/>
      <c r="Z18" t="inlineStr">
        <is>
          <t>Reviewed</t>
        </is>
      </c>
      <c r="AA18" t="inlineStr">
        <is>
          <t>-</t>
        </is>
      </c>
      <c r="AB18" t="inlineStr">
        <is>
          <t>Yes</t>
        </is>
      </c>
      <c r="AC18" t="inlineStr">
        <is>
          <t>See file</t>
        </is>
      </c>
      <c r="AD18" t="inlineStr">
        <is>
          <t>Miller Ltd 0002</t>
        </is>
      </c>
      <c r="AE18" t="inlineStr">
        <is>
          <t>-</t>
        </is>
      </c>
      <c r="AF18" t="inlineStr">
        <is>
          <t>Yes</t>
        </is>
      </c>
      <c r="AG18" t="inlineStr"/>
      <c r="AH18" t="n">
        <v>1776646.17</v>
      </c>
      <c r="AI18" t="inlineStr">
        <is>
          <t>High</t>
        </is>
      </c>
      <c r="AJ18" t="inlineStr">
        <is>
          <t>-</t>
        </is>
      </c>
      <c r="AK18" t="inlineStr">
        <is>
          <t>Q3 follow-up</t>
        </is>
      </c>
      <c r="AL18" t="inlineStr">
        <is>
          <t>N</t>
        </is>
      </c>
      <c r="AM18" t="inlineStr">
        <is>
          <t>See file</t>
        </is>
      </c>
      <c r="AN18" t="inlineStr">
        <is>
          <t>n/a</t>
        </is>
      </c>
      <c r="AO18" t="inlineStr">
        <is>
          <t>Y</t>
        </is>
      </c>
      <c r="AP18" t="n">
        <v>28851.46</v>
      </c>
      <c r="AQ18" t="inlineStr">
        <is>
          <t>Q3 follow-up</t>
        </is>
      </c>
      <c r="AR18" t="inlineStr">
        <is>
          <t>Pending</t>
        </is>
      </c>
      <c r="AS18" t="inlineStr">
        <is>
          <t>Reviewed</t>
        </is>
      </c>
      <c r="AU18" t="n">
        <v>1314031.43</v>
      </c>
      <c r="AV18" t="inlineStr">
        <is>
          <t>user718@example.org</t>
        </is>
      </c>
      <c r="AW18">
        <f>ROW()*9</f>
        <v/>
      </c>
      <c r="AY18" t="inlineStr"/>
      <c r="AZ18" t="inlineStr">
        <is>
          <t>Reviewed</t>
        </is>
      </c>
      <c r="BA18" t="inlineStr">
        <is>
          <t>Pending</t>
        </is>
      </c>
      <c r="BB18" t="inlineStr">
        <is>
          <t>Miller Ltd 0002 (Legal Entity)</t>
        </is>
      </c>
      <c r="BD18" t="inlineStr">
        <is>
          <t>TRUE</t>
        </is>
      </c>
      <c r="BE18" t="inlineStr">
        <is>
          <t>2020-11-22</t>
        </is>
      </c>
    </row>
    <row r="19">
      <c r="A19" t="inlineStr">
        <is>
          <t>Inactive</t>
        </is>
      </c>
      <c r="B19" t="n">
        <v>2842457.13</v>
      </c>
      <c r="C19" t="inlineStr">
        <is>
          <t>High Net Worth Individual</t>
        </is>
      </c>
      <c r="D19" t="n">
        <v>1861688.57</v>
      </c>
      <c r="E19" t="n">
        <v>2105593.17</v>
      </c>
      <c r="F19" t="inlineStr">
        <is>
          <t>Reviewed</t>
        </is>
      </c>
      <c r="G19" t="inlineStr">
        <is>
          <t>Q3 follow-up</t>
        </is>
      </c>
      <c r="H19" t="inlineStr"/>
      <c r="I19" t="inlineStr">
        <is>
          <t>02-Jan-2023</t>
        </is>
      </c>
      <c r="J19" t="inlineStr">
        <is>
          <t>Q3 follow-up</t>
        </is>
      </c>
      <c r="K19" t="inlineStr">
        <is>
          <t>Cooper,</t>
        </is>
      </c>
      <c r="M19" t="inlineStr">
        <is>
          <t>01-Apr-2019</t>
        </is>
      </c>
      <c r="N19" t="n">
        <v>1736.8715</v>
      </c>
      <c r="O19" t="inlineStr"/>
      <c r="P19" t="inlineStr">
        <is>
          <t>INV0000014</t>
        </is>
      </c>
      <c r="Q19" t="inlineStr">
        <is>
          <t>TBC</t>
        </is>
      </c>
      <c r="R19" t="inlineStr">
        <is>
          <t>Moderate</t>
        </is>
      </c>
      <c r="S19" t="inlineStr">
        <is>
          <t>USD</t>
        </is>
      </c>
      <c r="T19" t="inlineStr">
        <is>
          <t>Martinique</t>
        </is>
      </c>
      <c r="U19" t="inlineStr">
        <is>
          <t>N/A</t>
        </is>
      </c>
      <c r="V19" t="inlineStr">
        <is>
          <t>Low</t>
        </is>
      </c>
      <c r="W19" t="inlineStr">
        <is>
          <t>Standard</t>
        </is>
      </c>
      <c r="X19" t="n">
        <v>4144675.89</v>
      </c>
      <c r="Y19" t="inlineStr">
        <is>
          <t>Q3 follow-up</t>
        </is>
      </c>
      <c r="Z19" t="inlineStr">
        <is>
          <t>TBC</t>
        </is>
      </c>
      <c r="AA19" t="inlineStr">
        <is>
          <t>Low</t>
        </is>
      </c>
      <c r="AB19" t="inlineStr">
        <is>
          <t>TRUE</t>
        </is>
      </c>
      <c r="AC19" t="inlineStr">
        <is>
          <t>Q3 follow-up</t>
        </is>
      </c>
      <c r="AD19" t="inlineStr">
        <is>
          <t>Cooper, Jacobs and Gonzalez 0027</t>
        </is>
      </c>
      <c r="AE19" t="inlineStr">
        <is>
          <t>Pending</t>
        </is>
      </c>
      <c r="AF19" t="inlineStr">
        <is>
          <t>Yes</t>
        </is>
      </c>
      <c r="AG19" t="inlineStr">
        <is>
          <t>See file</t>
        </is>
      </c>
      <c r="AH19" t="n">
        <v>2844736.18</v>
      </c>
      <c r="AI19" t="inlineStr">
        <is>
          <t>-</t>
        </is>
      </c>
      <c r="AJ19" t="inlineStr">
        <is>
          <t>TBC</t>
        </is>
      </c>
      <c r="AK19" t="inlineStr">
        <is>
          <t>Standard</t>
        </is>
      </c>
      <c r="AL19" t="inlineStr">
        <is>
          <t>N</t>
        </is>
      </c>
      <c r="AM19" t="inlineStr">
        <is>
          <t>TBC</t>
        </is>
      </c>
      <c r="AN19" t="inlineStr"/>
      <c r="AO19" t="inlineStr">
        <is>
          <t>Yes</t>
        </is>
      </c>
      <c r="AP19" t="n">
        <v>5926.08</v>
      </c>
      <c r="AQ19" t="inlineStr">
        <is>
          <t>Pending</t>
        </is>
      </c>
      <c r="AR19" t="inlineStr">
        <is>
          <t>-</t>
        </is>
      </c>
      <c r="AS19" t="inlineStr">
        <is>
          <t>Low</t>
        </is>
      </c>
      <c r="AU19" t="n">
        <v>875575.95</v>
      </c>
      <c r="AV19" t="inlineStr">
        <is>
          <t>user921@example.org</t>
        </is>
      </c>
      <c r="AW19">
        <f>ROW()*2</f>
        <v/>
      </c>
      <c r="AY19" t="inlineStr">
        <is>
          <t>Q3 follow-up</t>
        </is>
      </c>
      <c r="AZ19" t="inlineStr">
        <is>
          <t>High</t>
        </is>
      </c>
      <c r="BA19" t="inlineStr"/>
      <c r="BB19" t="inlineStr">
        <is>
          <t>Cooper, Jacobs and Gonzalez 0027 (Legal Entity)</t>
        </is>
      </c>
      <c r="BD19" t="inlineStr">
        <is>
          <t>N</t>
        </is>
      </c>
      <c r="BE19" t="inlineStr">
        <is>
          <t>24-Oct-2020</t>
        </is>
      </c>
    </row>
    <row r="20">
      <c r="A20" t="inlineStr">
        <is>
          <t>Inactive</t>
        </is>
      </c>
      <c r="B20" t="n">
        <v>3320463.16</v>
      </c>
      <c r="C20" t="inlineStr">
        <is>
          <t>Family Office</t>
        </is>
      </c>
      <c r="D20" t="n">
        <v>3841720.02</v>
      </c>
      <c r="E20" t="n">
        <v>3766251.6</v>
      </c>
      <c r="F20" t="inlineStr"/>
      <c r="G20" t="inlineStr">
        <is>
          <t>TBC</t>
        </is>
      </c>
      <c r="H20" t="inlineStr">
        <is>
          <t>No</t>
        </is>
      </c>
      <c r="I20" t="inlineStr">
        <is>
          <t>01-Apr-2022</t>
        </is>
      </c>
      <c r="J20" t="inlineStr">
        <is>
          <t>Q3 follow-up</t>
        </is>
      </c>
      <c r="K20" t="inlineStr">
        <is>
          <t>Arroyo</t>
        </is>
      </c>
      <c r="M20" t="inlineStr">
        <is>
          <t>13/06/2020</t>
        </is>
      </c>
      <c r="N20" t="n">
        <v>4047.1429</v>
      </c>
      <c r="O20" t="inlineStr"/>
      <c r="P20" t="inlineStr">
        <is>
          <t>INV0000015</t>
        </is>
      </c>
      <c r="Q20" t="inlineStr">
        <is>
          <t>High</t>
        </is>
      </c>
      <c r="R20" t="inlineStr">
        <is>
          <t>Moderate</t>
        </is>
      </c>
      <c r="S20" t="inlineStr">
        <is>
          <t>USD</t>
        </is>
      </c>
      <c r="T20" t="inlineStr">
        <is>
          <t>Estonia</t>
        </is>
      </c>
      <c r="U20" t="inlineStr">
        <is>
          <t>--</t>
        </is>
      </c>
      <c r="V20" t="inlineStr">
        <is>
          <t>Standard</t>
        </is>
      </c>
      <c r="W20" t="inlineStr">
        <is>
          <t>TBC</t>
        </is>
      </c>
      <c r="X20" t="n">
        <v>3128485.9</v>
      </c>
      <c r="Y20" t="inlineStr">
        <is>
          <t>Q3 follow-up</t>
        </is>
      </c>
      <c r="Z20" t="inlineStr">
        <is>
          <t>High</t>
        </is>
      </c>
      <c r="AA20" t="inlineStr">
        <is>
          <t>Low</t>
        </is>
      </c>
      <c r="AB20" t="inlineStr">
        <is>
          <t>n/a</t>
        </is>
      </c>
      <c r="AC20" t="inlineStr">
        <is>
          <t>Standard</t>
        </is>
      </c>
      <c r="AD20" t="inlineStr">
        <is>
          <t>Arroyo Inc 0023</t>
        </is>
      </c>
      <c r="AE20" t="inlineStr">
        <is>
          <t>See file</t>
        </is>
      </c>
      <c r="AF20" t="inlineStr"/>
      <c r="AG20" t="inlineStr"/>
      <c r="AH20" t="n">
        <v>4813131.26</v>
      </c>
      <c r="AI20" t="inlineStr">
        <is>
          <t>TBC</t>
        </is>
      </c>
      <c r="AJ20" t="inlineStr">
        <is>
          <t>-</t>
        </is>
      </c>
      <c r="AK20" t="inlineStr">
        <is>
          <t>Low</t>
        </is>
      </c>
      <c r="AL20" t="inlineStr">
        <is>
          <t>Y</t>
        </is>
      </c>
      <c r="AM20" t="inlineStr">
        <is>
          <t>See file</t>
        </is>
      </c>
      <c r="AN20" t="inlineStr">
        <is>
          <t>No</t>
        </is>
      </c>
      <c r="AO20" t="inlineStr">
        <is>
          <t>N</t>
        </is>
      </c>
      <c r="AP20" t="inlineStr">
        <is>
          <t>33,051.20</t>
        </is>
      </c>
      <c r="AQ20" t="inlineStr">
        <is>
          <t>See file</t>
        </is>
      </c>
      <c r="AR20" t="inlineStr">
        <is>
          <t>See file</t>
        </is>
      </c>
      <c r="AS20" t="inlineStr">
        <is>
          <t>See file</t>
        </is>
      </c>
      <c r="AU20" t="inlineStr">
        <is>
          <t>N/A</t>
        </is>
      </c>
      <c r="AV20" t="inlineStr">
        <is>
          <t>user20@example.org</t>
        </is>
      </c>
      <c r="AW20">
        <f>ROW()*5</f>
        <v/>
      </c>
      <c r="AY20" t="inlineStr">
        <is>
          <t>-</t>
        </is>
      </c>
      <c r="AZ20" t="inlineStr">
        <is>
          <t>High</t>
        </is>
      </c>
      <c r="BA20" t="inlineStr">
        <is>
          <t>Standard</t>
        </is>
      </c>
      <c r="BB20" t="inlineStr">
        <is>
          <t>Arroyo Inc 0023 (Legal Entity)</t>
        </is>
      </c>
      <c r="BD20" t="inlineStr">
        <is>
          <t>n/a</t>
        </is>
      </c>
      <c r="BE20" t="inlineStr">
        <is>
          <t>2022-04-08</t>
        </is>
      </c>
    </row>
    <row r="21">
      <c r="A21" t="inlineStr">
        <is>
          <t>Active</t>
        </is>
      </c>
      <c r="B21" t="inlineStr">
        <is>
          <t>N/A</t>
        </is>
      </c>
      <c r="C21" t="inlineStr">
        <is>
          <t>Insurance Company</t>
        </is>
      </c>
      <c r="D21" t="inlineStr">
        <is>
          <t>--</t>
        </is>
      </c>
      <c r="E21" t="n">
        <v>2739977.81</v>
      </c>
      <c r="F21" t="inlineStr">
        <is>
          <t>-</t>
        </is>
      </c>
      <c r="G21" t="inlineStr">
        <is>
          <t>Low</t>
        </is>
      </c>
      <c r="H21" t="inlineStr">
        <is>
          <t>n/a</t>
        </is>
      </c>
      <c r="I21" t="inlineStr">
        <is>
          <t>2023-02-19</t>
        </is>
      </c>
      <c r="J21" t="inlineStr">
        <is>
          <t>Pending</t>
        </is>
      </c>
      <c r="K21" t="inlineStr">
        <is>
          <t>Martinez,</t>
        </is>
      </c>
      <c r="M21" t="inlineStr">
        <is>
          <t>19-Jan-2018</t>
        </is>
      </c>
      <c r="N21" t="inlineStr">
        <is>
          <t>844.65</t>
        </is>
      </c>
      <c r="O21" t="inlineStr">
        <is>
          <t>Standard</t>
        </is>
      </c>
      <c r="P21" t="inlineStr">
        <is>
          <t>INV0000016</t>
        </is>
      </c>
      <c r="Q21" t="inlineStr">
        <is>
          <t>See file</t>
        </is>
      </c>
      <c r="R21" t="inlineStr">
        <is>
          <t>Conservative</t>
        </is>
      </c>
      <c r="S21" t="inlineStr">
        <is>
          <t>USD</t>
        </is>
      </c>
      <c r="T21" t="inlineStr">
        <is>
          <t>Saint Lucia</t>
        </is>
      </c>
      <c r="U21" t="n">
        <v>3346815.77</v>
      </c>
      <c r="V21" t="inlineStr">
        <is>
          <t>See file</t>
        </is>
      </c>
      <c r="W21" t="inlineStr">
        <is>
          <t>Pending</t>
        </is>
      </c>
      <c r="X21" t="n">
        <v>4254469.52</v>
      </c>
      <c r="Y21" t="inlineStr"/>
      <c r="Z21" t="inlineStr">
        <is>
          <t>TBC</t>
        </is>
      </c>
      <c r="AA21" t="inlineStr"/>
      <c r="AB21" t="inlineStr">
        <is>
          <t>Yes</t>
        </is>
      </c>
      <c r="AC21" t="inlineStr"/>
      <c r="AD21" t="inlineStr">
        <is>
          <t>Martinez, Taylor and Nichols 0033</t>
        </is>
      </c>
      <c r="AE21" t="inlineStr">
        <is>
          <t>Low</t>
        </is>
      </c>
      <c r="AF21" t="inlineStr"/>
      <c r="AG21" t="inlineStr">
        <is>
          <t>Reviewed</t>
        </is>
      </c>
      <c r="AH21" t="n">
        <v>4727028.34</v>
      </c>
      <c r="AI21" t="inlineStr">
        <is>
          <t>Q3 follow-up</t>
        </is>
      </c>
      <c r="AJ21" t="inlineStr">
        <is>
          <t>See file</t>
        </is>
      </c>
      <c r="AK21" t="inlineStr"/>
      <c r="AL21" t="inlineStr">
        <is>
          <t>Yes</t>
        </is>
      </c>
      <c r="AM21" t="inlineStr">
        <is>
          <t>Standard</t>
        </is>
      </c>
      <c r="AN21" t="inlineStr"/>
      <c r="AO21" t="inlineStr">
        <is>
          <t>TRUE</t>
        </is>
      </c>
      <c r="AP21" t="n">
        <v>25485.27</v>
      </c>
      <c r="AQ21" t="inlineStr">
        <is>
          <t>TBC</t>
        </is>
      </c>
      <c r="AR21" t="inlineStr">
        <is>
          <t>Q3 follow-up</t>
        </is>
      </c>
      <c r="AS21" t="inlineStr">
        <is>
          <t>High</t>
        </is>
      </c>
      <c r="AU21" t="n">
        <v>3525383.72</v>
      </c>
      <c r="AV21" t="inlineStr">
        <is>
          <t>user257@example.org</t>
        </is>
      </c>
      <c r="AW21">
        <f>ROW()*5</f>
        <v/>
      </c>
      <c r="AY21" t="inlineStr">
        <is>
          <t>TBC</t>
        </is>
      </c>
      <c r="AZ21" t="inlineStr">
        <is>
          <t>See file</t>
        </is>
      </c>
      <c r="BA21" t="inlineStr">
        <is>
          <t>Q3 follow-up</t>
        </is>
      </c>
      <c r="BB21" t="inlineStr">
        <is>
          <t>Martinez, Taylor and Nichols 0033 (Legal Entity)</t>
        </is>
      </c>
      <c r="BD21" t="inlineStr">
        <is>
          <t>Yes</t>
        </is>
      </c>
      <c r="BE21" t="inlineStr">
        <is>
          <t>01/07/24</t>
        </is>
      </c>
    </row>
    <row r="22">
      <c r="A22" t="inlineStr">
        <is>
          <t>Active</t>
        </is>
      </c>
      <c r="B22" t="inlineStr">
        <is>
          <t>-</t>
        </is>
      </c>
      <c r="C22" t="inlineStr">
        <is>
          <t>Pension Fund</t>
        </is>
      </c>
      <c r="D22" t="inlineStr">
        <is>
          <t>-</t>
        </is>
      </c>
      <c r="E22" t="n">
        <v>2816364.76</v>
      </c>
      <c r="F22" t="inlineStr">
        <is>
          <t>See file</t>
        </is>
      </c>
      <c r="G22" t="inlineStr">
        <is>
          <t>Reviewed</t>
        </is>
      </c>
      <c r="H22" t="inlineStr">
        <is>
          <t>TRUE</t>
        </is>
      </c>
      <c r="I22" t="inlineStr">
        <is>
          <t>20-Aug-2024</t>
        </is>
      </c>
      <c r="J22" t="inlineStr">
        <is>
          <t>High</t>
        </is>
      </c>
      <c r="K22" t="inlineStr">
        <is>
          <t>Lee-Dixon</t>
        </is>
      </c>
      <c r="M22" t="inlineStr">
        <is>
          <t>12-Sep-2023</t>
        </is>
      </c>
      <c r="N22" t="inlineStr">
        <is>
          <t>2,732.58</t>
        </is>
      </c>
      <c r="O22" t="inlineStr">
        <is>
          <t>Reviewed</t>
        </is>
      </c>
      <c r="P22" t="inlineStr">
        <is>
          <t>INV0000017</t>
        </is>
      </c>
      <c r="Q22" t="inlineStr">
        <is>
          <t>TBC</t>
        </is>
      </c>
      <c r="R22" t="inlineStr">
        <is>
          <t>Moderate</t>
        </is>
      </c>
      <c r="S22" t="inlineStr">
        <is>
          <t>EUR</t>
        </is>
      </c>
      <c r="T22" t="inlineStr">
        <is>
          <t>Holy See (Vatican City State)</t>
        </is>
      </c>
      <c r="U22" t="inlineStr">
        <is>
          <t>TBD</t>
        </is>
      </c>
      <c r="V22" t="inlineStr">
        <is>
          <t>-</t>
        </is>
      </c>
      <c r="W22" t="inlineStr">
        <is>
          <t>Standard</t>
        </is>
      </c>
      <c r="X22" t="n">
        <v>4741282.9</v>
      </c>
      <c r="Y22" t="inlineStr">
        <is>
          <t>TBC</t>
        </is>
      </c>
      <c r="Z22" t="inlineStr">
        <is>
          <t>High</t>
        </is>
      </c>
      <c r="AA22" t="inlineStr">
        <is>
          <t>Standard</t>
        </is>
      </c>
      <c r="AB22" t="inlineStr"/>
      <c r="AC22" t="inlineStr">
        <is>
          <t>Pending</t>
        </is>
      </c>
      <c r="AD22" t="inlineStr">
        <is>
          <t>Lee-Dixon 0006</t>
        </is>
      </c>
      <c r="AE22" t="inlineStr">
        <is>
          <t>Low</t>
        </is>
      </c>
      <c r="AF22" t="inlineStr">
        <is>
          <t>TRUE</t>
        </is>
      </c>
      <c r="AG22" t="inlineStr">
        <is>
          <t>Reviewed</t>
        </is>
      </c>
      <c r="AH22" t="n">
        <v>299568.99</v>
      </c>
      <c r="AI22" t="inlineStr">
        <is>
          <t>Pending</t>
        </is>
      </c>
      <c r="AJ22" t="inlineStr">
        <is>
          <t>High</t>
        </is>
      </c>
      <c r="AK22" t="inlineStr">
        <is>
          <t>Reviewed</t>
        </is>
      </c>
      <c r="AL22" t="inlineStr">
        <is>
          <t>No</t>
        </is>
      </c>
      <c r="AM22" t="inlineStr">
        <is>
          <t>Low</t>
        </is>
      </c>
      <c r="AN22" t="inlineStr">
        <is>
          <t>N</t>
        </is>
      </c>
      <c r="AO22" t="inlineStr">
        <is>
          <t>n/a</t>
        </is>
      </c>
      <c r="AP22" t="inlineStr">
        <is>
          <t>26,164.32</t>
        </is>
      </c>
      <c r="AQ22" t="inlineStr">
        <is>
          <t>Low</t>
        </is>
      </c>
      <c r="AR22" t="inlineStr">
        <is>
          <t>Q3 follow-up</t>
        </is>
      </c>
      <c r="AS22" t="inlineStr">
        <is>
          <t>Standard</t>
        </is>
      </c>
      <c r="AU22" t="n">
        <v>981582.46</v>
      </c>
      <c r="AV22" t="inlineStr">
        <is>
          <t>user430@example.org</t>
        </is>
      </c>
      <c r="AW22">
        <f>ROW()*3</f>
        <v/>
      </c>
      <c r="AY22" t="inlineStr">
        <is>
          <t>-</t>
        </is>
      </c>
      <c r="AZ22" t="inlineStr">
        <is>
          <t>Low</t>
        </is>
      </c>
      <c r="BA22" t="inlineStr">
        <is>
          <t>-</t>
        </is>
      </c>
      <c r="BB22" t="inlineStr">
        <is>
          <t>Lee-Dixon 0006 (Legal Entity)</t>
        </is>
      </c>
      <c r="BD22" t="inlineStr">
        <is>
          <t>N</t>
        </is>
      </c>
      <c r="BE22" t="inlineStr">
        <is>
          <t>2020-10-08</t>
        </is>
      </c>
    </row>
    <row r="23">
      <c r="A23" t="inlineStr">
        <is>
          <t>Inactive</t>
        </is>
      </c>
      <c r="B23" t="n">
        <v>3852897.17</v>
      </c>
      <c r="C23" t="inlineStr">
        <is>
          <t>Endowment</t>
        </is>
      </c>
      <c r="D23" t="inlineStr">
        <is>
          <t>TBD</t>
        </is>
      </c>
      <c r="E23" t="n">
        <v>483289.55</v>
      </c>
      <c r="F23" t="inlineStr">
        <is>
          <t>-</t>
        </is>
      </c>
      <c r="G23" t="inlineStr">
        <is>
          <t>Reviewed</t>
        </is>
      </c>
      <c r="H23" t="inlineStr">
        <is>
          <t>Yes</t>
        </is>
      </c>
      <c r="I23" t="inlineStr">
        <is>
          <t>12/10/21</t>
        </is>
      </c>
      <c r="J23" t="inlineStr">
        <is>
          <t>See file</t>
        </is>
      </c>
      <c r="K23" t="inlineStr">
        <is>
          <t>Morgan</t>
        </is>
      </c>
      <c r="M23" t="inlineStr">
        <is>
          <t>03/04/2013</t>
        </is>
      </c>
      <c r="N23" t="inlineStr">
        <is>
          <t>4,739.27</t>
        </is>
      </c>
      <c r="O23" t="inlineStr"/>
      <c r="P23" t="inlineStr">
        <is>
          <t>INV0000018</t>
        </is>
      </c>
      <c r="Q23" t="inlineStr">
        <is>
          <t>See file</t>
        </is>
      </c>
      <c r="R23" t="inlineStr">
        <is>
          <t>Conservative</t>
        </is>
      </c>
      <c r="S23" t="inlineStr">
        <is>
          <t>USD</t>
        </is>
      </c>
      <c r="T23" t="inlineStr">
        <is>
          <t>Finland</t>
        </is>
      </c>
      <c r="U23" t="inlineStr"/>
      <c r="V23" t="inlineStr">
        <is>
          <t>Low</t>
        </is>
      </c>
      <c r="W23" t="inlineStr">
        <is>
          <t>See file</t>
        </is>
      </c>
      <c r="X23" t="n">
        <v>3389913.43</v>
      </c>
      <c r="Y23" t="inlineStr">
        <is>
          <t>See file</t>
        </is>
      </c>
      <c r="Z23" t="inlineStr">
        <is>
          <t>Q3 follow-up</t>
        </is>
      </c>
      <c r="AA23" t="inlineStr">
        <is>
          <t>See file</t>
        </is>
      </c>
      <c r="AB23" t="inlineStr">
        <is>
          <t>Yes</t>
        </is>
      </c>
      <c r="AC23" t="inlineStr">
        <is>
          <t>Reviewed</t>
        </is>
      </c>
      <c r="AD23" t="inlineStr">
        <is>
          <t>Morgan Inc 0022</t>
        </is>
      </c>
      <c r="AE23" t="inlineStr">
        <is>
          <t>See file</t>
        </is>
      </c>
      <c r="AF23" t="inlineStr">
        <is>
          <t>No</t>
        </is>
      </c>
      <c r="AG23" t="inlineStr">
        <is>
          <t>Reviewed</t>
        </is>
      </c>
      <c r="AH23" t="n">
        <v>4997444.58</v>
      </c>
      <c r="AI23" t="inlineStr">
        <is>
          <t>Standard</t>
        </is>
      </c>
      <c r="AJ23" t="inlineStr"/>
      <c r="AK23" t="inlineStr">
        <is>
          <t>-</t>
        </is>
      </c>
      <c r="AL23" t="inlineStr">
        <is>
          <t>TRUE</t>
        </is>
      </c>
      <c r="AM23" t="inlineStr">
        <is>
          <t>High</t>
        </is>
      </c>
      <c r="AN23" t="inlineStr">
        <is>
          <t>n/a</t>
        </is>
      </c>
      <c r="AO23" t="inlineStr"/>
      <c r="AP23" t="n">
        <v>46418.2</v>
      </c>
      <c r="AQ23" t="inlineStr">
        <is>
          <t>See file</t>
        </is>
      </c>
      <c r="AR23" t="inlineStr">
        <is>
          <t>Pending</t>
        </is>
      </c>
      <c r="AS23" t="inlineStr">
        <is>
          <t>Low</t>
        </is>
      </c>
      <c r="AU23" t="inlineStr">
        <is>
          <t>n/a</t>
        </is>
      </c>
      <c r="AV23" t="inlineStr">
        <is>
          <t>user581@example.org</t>
        </is>
      </c>
      <c r="AW23">
        <f>ROW()*7</f>
        <v/>
      </c>
      <c r="AY23" t="inlineStr">
        <is>
          <t>TBC</t>
        </is>
      </c>
      <c r="AZ23" t="inlineStr">
        <is>
          <t>Pending</t>
        </is>
      </c>
      <c r="BA23" t="inlineStr">
        <is>
          <t>Q3 follow-up</t>
        </is>
      </c>
      <c r="BB23" t="inlineStr">
        <is>
          <t>Morgan Inc 0022 (Legal Entity)</t>
        </is>
      </c>
      <c r="BD23" t="inlineStr">
        <is>
          <t>n/a</t>
        </is>
      </c>
      <c r="BE23" t="inlineStr">
        <is>
          <t>12-Apr-2020</t>
        </is>
      </c>
    </row>
    <row r="24">
      <c r="A24" t="inlineStr">
        <is>
          <t>Active</t>
        </is>
      </c>
      <c r="B24" t="n">
        <v>4673435.2</v>
      </c>
      <c r="C24" t="inlineStr">
        <is>
          <t>Fund of Funds</t>
        </is>
      </c>
      <c r="D24" t="n">
        <v>2113115.05</v>
      </c>
      <c r="E24" t="inlineStr">
        <is>
          <t>n/a</t>
        </is>
      </c>
      <c r="F24" t="inlineStr">
        <is>
          <t>TBC</t>
        </is>
      </c>
      <c r="G24" t="inlineStr">
        <is>
          <t>Reviewed</t>
        </is>
      </c>
      <c r="H24" t="inlineStr"/>
      <c r="I24" t="inlineStr">
        <is>
          <t>15/09/2022</t>
        </is>
      </c>
      <c r="J24" t="inlineStr"/>
      <c r="K24" t="inlineStr">
        <is>
          <t>Nicholson-Lawrence</t>
        </is>
      </c>
      <c r="M24" t="inlineStr">
        <is>
          <t>2013-12-02</t>
        </is>
      </c>
      <c r="N24" t="inlineStr">
        <is>
          <t>3,923.77</t>
        </is>
      </c>
      <c r="O24" t="inlineStr">
        <is>
          <t>See file</t>
        </is>
      </c>
      <c r="P24" t="inlineStr">
        <is>
          <t>INV0000019</t>
        </is>
      </c>
      <c r="Q24" t="inlineStr">
        <is>
          <t>TBC</t>
        </is>
      </c>
      <c r="R24" t="inlineStr">
        <is>
          <t>Conservative</t>
        </is>
      </c>
      <c r="S24" t="inlineStr">
        <is>
          <t>EUR</t>
        </is>
      </c>
      <c r="T24" t="inlineStr">
        <is>
          <t>Greenland</t>
        </is>
      </c>
      <c r="U24" t="n">
        <v>3160732.98</v>
      </c>
      <c r="V24" t="inlineStr">
        <is>
          <t>Low</t>
        </is>
      </c>
      <c r="W24" t="inlineStr">
        <is>
          <t>TBC</t>
        </is>
      </c>
      <c r="X24" t="n">
        <v>4612670.64</v>
      </c>
      <c r="Y24" t="inlineStr">
        <is>
          <t>TBC</t>
        </is>
      </c>
      <c r="Z24" t="inlineStr">
        <is>
          <t>-</t>
        </is>
      </c>
      <c r="AA24" t="inlineStr">
        <is>
          <t>Q3 follow-up</t>
        </is>
      </c>
      <c r="AB24" t="inlineStr">
        <is>
          <t>No</t>
        </is>
      </c>
      <c r="AC24" t="inlineStr">
        <is>
          <t>TBC</t>
        </is>
      </c>
      <c r="AD24" t="inlineStr">
        <is>
          <t>Nicholson-Lawrence 0028</t>
        </is>
      </c>
      <c r="AE24" t="inlineStr">
        <is>
          <t>Pending</t>
        </is>
      </c>
      <c r="AF24" t="inlineStr">
        <is>
          <t>Yes</t>
        </is>
      </c>
      <c r="AG24" t="inlineStr">
        <is>
          <t>Low</t>
        </is>
      </c>
      <c r="AH24" t="n">
        <v>3262905.95</v>
      </c>
      <c r="AI24" t="inlineStr">
        <is>
          <t>-</t>
        </is>
      </c>
      <c r="AJ24" t="inlineStr">
        <is>
          <t>Q3 follow-up</t>
        </is>
      </c>
      <c r="AK24" t="inlineStr">
        <is>
          <t>Pending</t>
        </is>
      </c>
      <c r="AL24" t="inlineStr">
        <is>
          <t>n/a</t>
        </is>
      </c>
      <c r="AM24" t="inlineStr">
        <is>
          <t>TBC</t>
        </is>
      </c>
      <c r="AN24" t="inlineStr">
        <is>
          <t>Y</t>
        </is>
      </c>
      <c r="AO24" t="inlineStr">
        <is>
          <t>n/a</t>
        </is>
      </c>
      <c r="AP24" t="n">
        <v>6739.99</v>
      </c>
      <c r="AQ24" t="inlineStr">
        <is>
          <t>Pending</t>
        </is>
      </c>
      <c r="AR24" t="inlineStr">
        <is>
          <t>-</t>
        </is>
      </c>
      <c r="AS24" t="inlineStr">
        <is>
          <t>-</t>
        </is>
      </c>
      <c r="AU24" t="inlineStr"/>
      <c r="AV24" t="inlineStr">
        <is>
          <t>user544@example.org</t>
        </is>
      </c>
      <c r="AW24">
        <f>ROW()*4</f>
        <v/>
      </c>
      <c r="AY24" t="inlineStr">
        <is>
          <t>Low</t>
        </is>
      </c>
      <c r="AZ24" t="inlineStr">
        <is>
          <t>Low</t>
        </is>
      </c>
      <c r="BA24" t="inlineStr">
        <is>
          <t>Pending</t>
        </is>
      </c>
      <c r="BB24" t="inlineStr">
        <is>
          <t>Nicholson-Lawrence 0028 (Legal Entity)</t>
        </is>
      </c>
      <c r="BD24" t="inlineStr"/>
      <c r="BE24" t="inlineStr">
        <is>
          <t>14-Dec-2021</t>
        </is>
      </c>
    </row>
    <row r="25">
      <c r="A25" s="1" t="inlineStr">
        <is>
          <t>Account Status</t>
        </is>
      </c>
      <c r="B25" s="1" t="inlineStr">
        <is>
          <t>Q4 NAV</t>
        </is>
      </c>
      <c r="C25" s="1" t="inlineStr">
        <is>
          <t>Inv. Type</t>
        </is>
      </c>
      <c r="D25" s="1" t="inlineStr">
        <is>
          <t>Fee Rate %</t>
        </is>
      </c>
      <c r="E25" s="1" t="inlineStr">
        <is>
          <t>Q1 NAV</t>
        </is>
      </c>
      <c r="F25" s="1" t="inlineStr">
        <is>
          <t>Contact Person</t>
        </is>
      </c>
      <c r="G25" s="1" t="inlineStr">
        <is>
          <t>Signatory 1</t>
        </is>
      </c>
      <c r="H25" s="1" t="inlineStr">
        <is>
          <t>W-9 On File</t>
        </is>
      </c>
      <c r="I25" s="1" t="inlineStr">
        <is>
          <t>Last Reviewed</t>
        </is>
      </c>
      <c r="J25" s="1" t="inlineStr">
        <is>
          <t>Notice Method</t>
        </is>
      </c>
      <c r="K25" s="1" t="inlineStr">
        <is>
          <t>Short Name</t>
        </is>
      </c>
      <c r="L25" s="1" t="inlineStr"/>
      <c r="M25" s="1" t="inlineStr">
        <is>
          <t>Onboarding Date</t>
        </is>
      </c>
      <c r="N25" s="1" t="inlineStr">
        <is>
          <t>COMMITMENT CAPACITY USD MILLIONS</t>
        </is>
      </c>
      <c r="O25" s="1" t="inlineStr">
        <is>
          <t>Tier</t>
        </is>
      </c>
      <c r="P25" s="1" t="inlineStr">
        <is>
          <t>Inv ID</t>
        </is>
      </c>
      <c r="Q25" s="1" t="inlineStr">
        <is>
          <t>Bank Name</t>
        </is>
      </c>
      <c r="R25" s="1" t="inlineStr">
        <is>
          <t>risk profile</t>
        </is>
      </c>
      <c r="S25" s="1" t="inlineStr">
        <is>
          <t>Currency</t>
        </is>
      </c>
      <c r="T25" s="1" t="inlineStr">
        <is>
          <t>Jurisdiction</t>
        </is>
      </c>
      <c r="U25" s="1" t="inlineStr">
        <is>
          <t>Q2 NAV</t>
        </is>
      </c>
      <c r="V25" s="1" t="inlineStr">
        <is>
          <t>Onboarded By</t>
        </is>
      </c>
      <c r="W25" s="1" t="inlineStr">
        <is>
          <t>Relationship Manager</t>
        </is>
      </c>
      <c r="X25" s="1" t="inlineStr">
        <is>
          <t>Fund III Commit</t>
        </is>
      </c>
      <c r="Y25" s="1" t="inlineStr">
        <is>
          <t>Region</t>
        </is>
      </c>
      <c r="Z25" s="1" t="inlineStr">
        <is>
          <t>Review Cycle</t>
        </is>
      </c>
      <c r="AA25" s="1" t="inlineStr">
        <is>
          <t>Tax Residence</t>
        </is>
      </c>
      <c r="AB25" s="1" t="inlineStr">
        <is>
          <t>FATCA</t>
        </is>
      </c>
      <c r="AC25" s="1" t="inlineStr">
        <is>
          <t>Account No.</t>
        </is>
      </c>
      <c r="AD25" s="1" t="inlineStr">
        <is>
          <t>Legal Name</t>
        </is>
      </c>
      <c r="AE25" s="1" t="inlineStr">
        <is>
          <t>Sanctions Check</t>
        </is>
      </c>
      <c r="AF25" s="1" t="inlineStr">
        <is>
          <t>CRS</t>
        </is>
      </c>
      <c r="AG25" s="1" t="inlineStr">
        <is>
          <t>SWIFT</t>
        </is>
      </c>
      <c r="AH25" s="1" t="inlineStr">
        <is>
          <t>Fund II Commit</t>
        </is>
      </c>
      <c r="AI25" s="1" t="inlineStr">
        <is>
          <t>Rating</t>
        </is>
      </c>
      <c r="AJ25" s="1" t="inlineStr">
        <is>
          <t>Domicile Code</t>
        </is>
      </c>
      <c r="AK25" s="1" t="inlineStr">
        <is>
          <t>Internal Ref</t>
        </is>
      </c>
      <c r="AL25" s="1" t="inlineStr">
        <is>
          <t>Marketing Opt-in</t>
        </is>
      </c>
      <c r="AM25" s="1" t="inlineStr">
        <is>
          <t>Phone</t>
        </is>
      </c>
      <c r="AN25" s="1" t="inlineStr">
        <is>
          <t>Side Letter?</t>
        </is>
      </c>
      <c r="AO25" s="1" t="inlineStr">
        <is>
          <t>Carry Eligible</t>
        </is>
      </c>
      <c r="AP25" s="1" t="inlineStr">
        <is>
          <t>aum usd millions</t>
        </is>
      </c>
      <c r="AQ25" s="1" t="inlineStr">
        <is>
          <t>Tax ID</t>
        </is>
      </c>
      <c r="AR25" s="1" t="inlineStr">
        <is>
          <t>Comments</t>
        </is>
      </c>
      <c r="AS25" s="1" t="inlineStr">
        <is>
          <t>Signatory 2</t>
        </is>
      </c>
      <c r="AT25" s="1" t="inlineStr"/>
      <c r="AU25" s="1" t="inlineStr">
        <is>
          <t>Called %</t>
        </is>
      </c>
      <c r="AV25" s="1" t="inlineStr">
        <is>
          <t>Email</t>
        </is>
      </c>
      <c r="AW25" s="1" t="inlineStr">
        <is>
          <t>Unfunded</t>
        </is>
      </c>
      <c r="AX25" s="1" t="inlineStr"/>
      <c r="AY25" s="1" t="inlineStr">
        <is>
          <t>Mailing Address</t>
        </is>
      </c>
      <c r="AZ25" s="1" t="inlineStr">
        <is>
          <t>KYC Status</t>
        </is>
      </c>
      <c r="BA25" s="1" t="inlineStr">
        <is>
          <t>Segment</t>
        </is>
      </c>
      <c r="BB25" s="1" t="inlineStr">
        <is>
          <t>Legal Entity Name</t>
        </is>
      </c>
      <c r="BC25" s="1" t="inlineStr"/>
      <c r="BD25" s="1" t="inlineStr">
        <is>
          <t>PEP Flag</t>
        </is>
      </c>
      <c r="BE25" s="1" t="inlineStr">
        <is>
          <t>KYC Date</t>
        </is>
      </c>
    </row>
    <row r="26">
      <c r="A26" t="inlineStr">
        <is>
          <t>Active</t>
        </is>
      </c>
      <c r="B26" t="n">
        <v>3941903.51</v>
      </c>
      <c r="C26" t="inlineStr">
        <is>
          <t>Family Office</t>
        </is>
      </c>
      <c r="D26" t="n">
        <v>267826.95</v>
      </c>
      <c r="E26" t="inlineStr">
        <is>
          <t>N/A</t>
        </is>
      </c>
      <c r="F26" t="inlineStr">
        <is>
          <t>High</t>
        </is>
      </c>
      <c r="G26" t="inlineStr">
        <is>
          <t>TBC</t>
        </is>
      </c>
      <c r="H26" t="inlineStr">
        <is>
          <t>No</t>
        </is>
      </c>
      <c r="I26" t="inlineStr">
        <is>
          <t>02/18/21</t>
        </is>
      </c>
      <c r="J26" t="inlineStr">
        <is>
          <t>Q3 follow-up</t>
        </is>
      </c>
      <c r="K26" t="inlineStr">
        <is>
          <t>Moore</t>
        </is>
      </c>
      <c r="M26" t="inlineStr">
        <is>
          <t>28-Jan-2018</t>
        </is>
      </c>
      <c r="N26" t="inlineStr">
        <is>
          <t>1,633.86</t>
        </is>
      </c>
      <c r="O26" t="inlineStr">
        <is>
          <t>TBC</t>
        </is>
      </c>
      <c r="P26" t="inlineStr">
        <is>
          <t>INV0000020</t>
        </is>
      </c>
      <c r="Q26" t="inlineStr">
        <is>
          <t>Low</t>
        </is>
      </c>
      <c r="R26" t="inlineStr">
        <is>
          <t>Moderate</t>
        </is>
      </c>
      <c r="S26" t="inlineStr">
        <is>
          <t>USD</t>
        </is>
      </c>
      <c r="T26" t="inlineStr">
        <is>
          <t>Micronesia</t>
        </is>
      </c>
      <c r="U26" t="n">
        <v>848542.55</v>
      </c>
      <c r="V26" t="inlineStr">
        <is>
          <t>Low</t>
        </is>
      </c>
      <c r="W26" t="inlineStr">
        <is>
          <t>Low</t>
        </is>
      </c>
      <c r="X26" t="n">
        <v>3940810.1</v>
      </c>
      <c r="Y26" t="inlineStr">
        <is>
          <t>See file</t>
        </is>
      </c>
      <c r="Z26" t="inlineStr">
        <is>
          <t>Pending</t>
        </is>
      </c>
      <c r="AA26" t="inlineStr">
        <is>
          <t>Pending</t>
        </is>
      </c>
      <c r="AB26" t="inlineStr">
        <is>
          <t>No</t>
        </is>
      </c>
      <c r="AC26" t="inlineStr"/>
      <c r="AD26" t="inlineStr">
        <is>
          <t>Moore Inc 0016</t>
        </is>
      </c>
      <c r="AE26" t="inlineStr">
        <is>
          <t>Standard</t>
        </is>
      </c>
      <c r="AF26" t="inlineStr">
        <is>
          <t>Yes</t>
        </is>
      </c>
      <c r="AG26" t="inlineStr">
        <is>
          <t>Low</t>
        </is>
      </c>
      <c r="AH26" t="n">
        <v>750768.72</v>
      </c>
      <c r="AI26" t="inlineStr">
        <is>
          <t>Reviewed</t>
        </is>
      </c>
      <c r="AJ26" t="inlineStr">
        <is>
          <t>Reviewed</t>
        </is>
      </c>
      <c r="AK26" t="inlineStr">
        <is>
          <t>Q3 follow-up</t>
        </is>
      </c>
      <c r="AL26" t="inlineStr">
        <is>
          <t>TRUE</t>
        </is>
      </c>
      <c r="AM26" t="inlineStr">
        <is>
          <t>Q3 follow-up</t>
        </is>
      </c>
      <c r="AN26" t="inlineStr"/>
      <c r="AO26" t="inlineStr">
        <is>
          <t>TRUE</t>
        </is>
      </c>
      <c r="AP26" t="inlineStr">
        <is>
          <t>44,316.59</t>
        </is>
      </c>
      <c r="AQ26" t="inlineStr"/>
      <c r="AR26" t="inlineStr"/>
      <c r="AS26" t="inlineStr">
        <is>
          <t>TBC</t>
        </is>
      </c>
      <c r="AU26" t="n">
        <v>4486074.02</v>
      </c>
      <c r="AV26" t="inlineStr">
        <is>
          <t>user596@example.org</t>
        </is>
      </c>
      <c r="AW26">
        <f>ROW()*5</f>
        <v/>
      </c>
      <c r="AY26" t="inlineStr">
        <is>
          <t>Standard</t>
        </is>
      </c>
      <c r="AZ26" t="inlineStr">
        <is>
          <t>Q3 follow-up</t>
        </is>
      </c>
      <c r="BA26" t="inlineStr">
        <is>
          <t>-</t>
        </is>
      </c>
      <c r="BB26" t="inlineStr">
        <is>
          <t>Moore Inc 0016 (Legal Entity)</t>
        </is>
      </c>
      <c r="BD26" t="inlineStr">
        <is>
          <t>TRUE</t>
        </is>
      </c>
      <c r="BE26" t="inlineStr">
        <is>
          <t>04-Feb-2021</t>
        </is>
      </c>
    </row>
    <row r="27">
      <c r="A27" t="inlineStr">
        <is>
          <t>Active</t>
        </is>
      </c>
      <c r="B27" t="inlineStr">
        <is>
          <t>TBD</t>
        </is>
      </c>
      <c r="C27" t="inlineStr">
        <is>
          <t>Foundation</t>
        </is>
      </c>
      <c r="D27" t="n">
        <v>4228149.37</v>
      </c>
      <c r="E27" t="inlineStr">
        <is>
          <t>TBD</t>
        </is>
      </c>
      <c r="F27" t="inlineStr">
        <is>
          <t>Reviewed</t>
        </is>
      </c>
      <c r="G27" t="inlineStr">
        <is>
          <t>TBC</t>
        </is>
      </c>
      <c r="H27" t="inlineStr">
        <is>
          <t>Y</t>
        </is>
      </c>
      <c r="I27" t="inlineStr">
        <is>
          <t>15-Dec-2023</t>
        </is>
      </c>
      <c r="J27" t="inlineStr">
        <is>
          <t>Low</t>
        </is>
      </c>
      <c r="K27" t="inlineStr">
        <is>
          <t>Ortiz</t>
        </is>
      </c>
      <c r="M27" t="inlineStr">
        <is>
          <t>11/03/13</t>
        </is>
      </c>
      <c r="N27" t="inlineStr">
        <is>
          <t>4,438.86</t>
        </is>
      </c>
      <c r="O27" t="inlineStr">
        <is>
          <t>Pending</t>
        </is>
      </c>
      <c r="P27" t="inlineStr">
        <is>
          <t>INV0000021</t>
        </is>
      </c>
      <c r="Q27" t="inlineStr">
        <is>
          <t>See file</t>
        </is>
      </c>
      <c r="R27" t="inlineStr">
        <is>
          <t>Conservative</t>
        </is>
      </c>
      <c r="S27" t="inlineStr">
        <is>
          <t>SGD</t>
        </is>
      </c>
      <c r="T27" t="inlineStr">
        <is>
          <t>Ghana</t>
        </is>
      </c>
      <c r="U27" t="n">
        <v>4599473.12</v>
      </c>
      <c r="V27" t="inlineStr">
        <is>
          <t>High</t>
        </is>
      </c>
      <c r="W27" t="inlineStr">
        <is>
          <t>Reviewed</t>
        </is>
      </c>
      <c r="X27" t="n">
        <v>3935725.16</v>
      </c>
      <c r="Y27" t="inlineStr">
        <is>
          <t>Pending</t>
        </is>
      </c>
      <c r="Z27" t="inlineStr">
        <is>
          <t>Standard</t>
        </is>
      </c>
      <c r="AA27" t="inlineStr">
        <is>
          <t>Standard</t>
        </is>
      </c>
      <c r="AB27" t="inlineStr">
        <is>
          <t>n/a</t>
        </is>
      </c>
      <c r="AC27" t="inlineStr">
        <is>
          <t>-</t>
        </is>
      </c>
      <c r="AD27" t="inlineStr">
        <is>
          <t>Ortiz LLC 0019</t>
        </is>
      </c>
      <c r="AE27" t="inlineStr">
        <is>
          <t>High</t>
        </is>
      </c>
      <c r="AF27" t="inlineStr"/>
      <c r="AG27" t="inlineStr">
        <is>
          <t>Q3 follow-up</t>
        </is>
      </c>
      <c r="AH27" t="n">
        <v>2358744.78</v>
      </c>
      <c r="AI27" t="inlineStr">
        <is>
          <t>Q3 follow-up</t>
        </is>
      </c>
      <c r="AJ27" t="inlineStr">
        <is>
          <t>-</t>
        </is>
      </c>
      <c r="AK27" t="inlineStr">
        <is>
          <t>Standard</t>
        </is>
      </c>
      <c r="AL27" t="inlineStr">
        <is>
          <t>N</t>
        </is>
      </c>
      <c r="AM27" t="inlineStr">
        <is>
          <t>Standard</t>
        </is>
      </c>
      <c r="AN27" t="inlineStr">
        <is>
          <t>No</t>
        </is>
      </c>
      <c r="AO27" t="inlineStr"/>
      <c r="AP27" t="n">
        <v>26525.02</v>
      </c>
      <c r="AQ27" t="inlineStr">
        <is>
          <t>TBC</t>
        </is>
      </c>
      <c r="AR27" t="inlineStr">
        <is>
          <t>Reviewed</t>
        </is>
      </c>
      <c r="AS27" t="inlineStr">
        <is>
          <t>-</t>
        </is>
      </c>
      <c r="AU27" t="n">
        <v>2041173.09</v>
      </c>
      <c r="AV27" t="inlineStr">
        <is>
          <t>user191@example.org</t>
        </is>
      </c>
      <c r="AW27">
        <f>ROW()*5</f>
        <v/>
      </c>
      <c r="AY27" t="inlineStr">
        <is>
          <t>High</t>
        </is>
      </c>
      <c r="AZ27" t="inlineStr">
        <is>
          <t>Standard</t>
        </is>
      </c>
      <c r="BA27" t="inlineStr">
        <is>
          <t>TBC</t>
        </is>
      </c>
      <c r="BB27" t="inlineStr">
        <is>
          <t>Ortiz LLC 0019 (Legal Entity)</t>
        </is>
      </c>
      <c r="BD27" t="inlineStr">
        <is>
          <t>TRUE</t>
        </is>
      </c>
      <c r="BE27" t="inlineStr">
        <is>
          <t>2023-02-23</t>
        </is>
      </c>
    </row>
    <row r="28">
      <c r="A28" t="inlineStr">
        <is>
          <t>Suspended</t>
        </is>
      </c>
      <c r="B28" t="n">
        <v>4988169.99</v>
      </c>
      <c r="C28" t="inlineStr">
        <is>
          <t>Family Office</t>
        </is>
      </c>
      <c r="D28" t="n">
        <v>4271365.36</v>
      </c>
      <c r="E28" t="n">
        <v>4666294.89</v>
      </c>
      <c r="F28" t="inlineStr">
        <is>
          <t>See file</t>
        </is>
      </c>
      <c r="G28" t="inlineStr">
        <is>
          <t>Low</t>
        </is>
      </c>
      <c r="H28" t="inlineStr">
        <is>
          <t>N</t>
        </is>
      </c>
      <c r="I28" t="inlineStr">
        <is>
          <t>17-Nov-2023</t>
        </is>
      </c>
      <c r="J28" t="inlineStr">
        <is>
          <t>Standard</t>
        </is>
      </c>
      <c r="K28" t="inlineStr">
        <is>
          <t>Rush</t>
        </is>
      </c>
      <c r="M28" t="inlineStr">
        <is>
          <t>16/04/2011</t>
        </is>
      </c>
      <c r="N28" t="n">
        <v>4472.7562</v>
      </c>
      <c r="O28" t="inlineStr">
        <is>
          <t>See file</t>
        </is>
      </c>
      <c r="P28" t="inlineStr">
        <is>
          <t>INV0000022</t>
        </is>
      </c>
      <c r="Q28" t="inlineStr">
        <is>
          <t>Pending</t>
        </is>
      </c>
      <c r="R28" t="inlineStr">
        <is>
          <t>Moderate</t>
        </is>
      </c>
      <c r="S28" t="inlineStr">
        <is>
          <t>EUR</t>
        </is>
      </c>
      <c r="T28" t="inlineStr">
        <is>
          <t>Martinique</t>
        </is>
      </c>
      <c r="U28" t="n">
        <v>1073743.55</v>
      </c>
      <c r="V28" t="inlineStr">
        <is>
          <t>Low</t>
        </is>
      </c>
      <c r="W28" t="inlineStr"/>
      <c r="X28" t="n">
        <v>3713956.99</v>
      </c>
      <c r="Y28" t="inlineStr">
        <is>
          <t>High</t>
        </is>
      </c>
      <c r="Z28" t="inlineStr">
        <is>
          <t>Low</t>
        </is>
      </c>
      <c r="AA28" t="inlineStr">
        <is>
          <t>Q3 follow-up</t>
        </is>
      </c>
      <c r="AB28" t="inlineStr">
        <is>
          <t>No</t>
        </is>
      </c>
      <c r="AC28" t="inlineStr">
        <is>
          <t>See file</t>
        </is>
      </c>
      <c r="AD28" t="inlineStr">
        <is>
          <t>Rush PLC 0032</t>
        </is>
      </c>
      <c r="AE28" t="inlineStr">
        <is>
          <t>High</t>
        </is>
      </c>
      <c r="AF28" t="inlineStr"/>
      <c r="AG28" t="inlineStr">
        <is>
          <t>-</t>
        </is>
      </c>
      <c r="AH28" t="n">
        <v>3402925.19</v>
      </c>
      <c r="AI28" t="inlineStr">
        <is>
          <t>Pending</t>
        </is>
      </c>
      <c r="AJ28" t="inlineStr">
        <is>
          <t>Q3 follow-up</t>
        </is>
      </c>
      <c r="AK28" t="inlineStr">
        <is>
          <t>Standard</t>
        </is>
      </c>
      <c r="AL28" t="inlineStr">
        <is>
          <t>Y</t>
        </is>
      </c>
      <c r="AM28" t="inlineStr">
        <is>
          <t>Reviewed</t>
        </is>
      </c>
      <c r="AN28" t="inlineStr">
        <is>
          <t>No</t>
        </is>
      </c>
      <c r="AO28" t="inlineStr">
        <is>
          <t>Y</t>
        </is>
      </c>
      <c r="AP28" t="inlineStr">
        <is>
          <t>45,675.78</t>
        </is>
      </c>
      <c r="AQ28" t="inlineStr">
        <is>
          <t>Standard</t>
        </is>
      </c>
      <c r="AR28" t="inlineStr">
        <is>
          <t>Q3 follow-up</t>
        </is>
      </c>
      <c r="AS28" t="inlineStr">
        <is>
          <t>-</t>
        </is>
      </c>
      <c r="AU28" t="n">
        <v>184541.64</v>
      </c>
      <c r="AV28" t="inlineStr">
        <is>
          <t>user292@example.org</t>
        </is>
      </c>
      <c r="AW28">
        <f>ROW()*8</f>
        <v/>
      </c>
      <c r="AY28" t="inlineStr">
        <is>
          <t>High</t>
        </is>
      </c>
      <c r="AZ28" t="inlineStr">
        <is>
          <t>Reviewed</t>
        </is>
      </c>
      <c r="BA28" t="inlineStr">
        <is>
          <t>See file</t>
        </is>
      </c>
      <c r="BB28" t="inlineStr">
        <is>
          <t>Rush PLC 0032 (Legal Entity)</t>
        </is>
      </c>
      <c r="BD28" t="inlineStr">
        <is>
          <t>Y</t>
        </is>
      </c>
      <c r="BE28" t="inlineStr">
        <is>
          <t>07/14/22</t>
        </is>
      </c>
    </row>
    <row r="29">
      <c r="A29" t="inlineStr">
        <is>
          <t>Active</t>
        </is>
      </c>
      <c r="B29" t="n">
        <v>4415469.09</v>
      </c>
      <c r="C29" t="inlineStr">
        <is>
          <t>Sovereign Wealth Fund</t>
        </is>
      </c>
      <c r="D29" t="n">
        <v>3192602.11</v>
      </c>
      <c r="E29" t="n">
        <v>746556.14</v>
      </c>
      <c r="F29" t="inlineStr">
        <is>
          <t>Reviewed</t>
        </is>
      </c>
      <c r="G29" t="inlineStr">
        <is>
          <t>TBC</t>
        </is>
      </c>
      <c r="H29" t="inlineStr">
        <is>
          <t>Yes</t>
        </is>
      </c>
      <c r="I29" t="inlineStr">
        <is>
          <t>06/16/22</t>
        </is>
      </c>
      <c r="J29" t="inlineStr">
        <is>
          <t>-</t>
        </is>
      </c>
      <c r="K29" t="inlineStr">
        <is>
          <t>Harmon</t>
        </is>
      </c>
      <c r="M29" t="inlineStr">
        <is>
          <t>2011-09-30</t>
        </is>
      </c>
      <c r="N29" t="n">
        <v>432.9118</v>
      </c>
      <c r="O29" t="inlineStr">
        <is>
          <t>Reviewed</t>
        </is>
      </c>
      <c r="P29" t="inlineStr">
        <is>
          <t>INV0000023</t>
        </is>
      </c>
      <c r="Q29" t="inlineStr"/>
      <c r="R29" t="inlineStr">
        <is>
          <t>Moderate</t>
        </is>
      </c>
      <c r="S29" t="inlineStr">
        <is>
          <t>GBP</t>
        </is>
      </c>
      <c r="T29" t="inlineStr">
        <is>
          <t>Slovenia</t>
        </is>
      </c>
      <c r="U29" t="inlineStr">
        <is>
          <t>-</t>
        </is>
      </c>
      <c r="V29" t="inlineStr">
        <is>
          <t>Reviewed</t>
        </is>
      </c>
      <c r="W29" t="inlineStr">
        <is>
          <t>Low</t>
        </is>
      </c>
      <c r="X29" t="n">
        <v>1520910.17</v>
      </c>
      <c r="Y29" t="inlineStr">
        <is>
          <t>Reviewed</t>
        </is>
      </c>
      <c r="Z29" t="inlineStr">
        <is>
          <t>Reviewed</t>
        </is>
      </c>
      <c r="AA29" t="inlineStr"/>
      <c r="AB29" t="inlineStr">
        <is>
          <t>TRUE</t>
        </is>
      </c>
      <c r="AC29" t="inlineStr">
        <is>
          <t>Q3 follow-up</t>
        </is>
      </c>
      <c r="AD29" t="inlineStr">
        <is>
          <t>Harmon LLC 0020</t>
        </is>
      </c>
      <c r="AE29" t="inlineStr"/>
      <c r="AF29" t="inlineStr">
        <is>
          <t>Yes</t>
        </is>
      </c>
      <c r="AG29" t="inlineStr"/>
      <c r="AH29" t="n">
        <v>3921249.65</v>
      </c>
      <c r="AI29" t="inlineStr"/>
      <c r="AJ29" t="inlineStr">
        <is>
          <t>Q3 follow-up</t>
        </is>
      </c>
      <c r="AK29" t="inlineStr">
        <is>
          <t>TBC</t>
        </is>
      </c>
      <c r="AL29" t="inlineStr">
        <is>
          <t>Yes</t>
        </is>
      </c>
      <c r="AM29" t="inlineStr">
        <is>
          <t>Reviewed</t>
        </is>
      </c>
      <c r="AN29" t="inlineStr">
        <is>
          <t>n/a</t>
        </is>
      </c>
      <c r="AO29" t="inlineStr">
        <is>
          <t>No</t>
        </is>
      </c>
      <c r="AP29" t="inlineStr">
        <is>
          <t>35,915.46</t>
        </is>
      </c>
      <c r="AQ29" t="inlineStr">
        <is>
          <t>TBC</t>
        </is>
      </c>
      <c r="AR29" t="inlineStr">
        <is>
          <t>Low</t>
        </is>
      </c>
      <c r="AS29" t="inlineStr">
        <is>
          <t>Q3 follow-up</t>
        </is>
      </c>
      <c r="AU29" t="n">
        <v>1772791.49</v>
      </c>
      <c r="AV29" t="inlineStr">
        <is>
          <t>user152@example.org</t>
        </is>
      </c>
      <c r="AW29">
        <f>ROW()*6</f>
        <v/>
      </c>
      <c r="AY29" t="inlineStr">
        <is>
          <t>-</t>
        </is>
      </c>
      <c r="AZ29" t="inlineStr"/>
      <c r="BA29" t="inlineStr"/>
      <c r="BB29" t="inlineStr">
        <is>
          <t>Harmon LLC 0020 (Legal Entity)</t>
        </is>
      </c>
      <c r="BD29" t="inlineStr">
        <is>
          <t>Y</t>
        </is>
      </c>
      <c r="BE29" t="inlineStr">
        <is>
          <t>21/07/2024</t>
        </is>
      </c>
    </row>
    <row r="30">
      <c r="A30" t="inlineStr">
        <is>
          <t>Active</t>
        </is>
      </c>
      <c r="B30" t="n">
        <v>3152942.25</v>
      </c>
      <c r="C30" t="inlineStr">
        <is>
          <t>Endowment</t>
        </is>
      </c>
      <c r="D30" t="n">
        <v>2993710.08</v>
      </c>
      <c r="E30" t="n">
        <v>4563854.57</v>
      </c>
      <c r="F30" t="inlineStr">
        <is>
          <t>Pending</t>
        </is>
      </c>
      <c r="G30" t="inlineStr">
        <is>
          <t>Reviewed</t>
        </is>
      </c>
      <c r="H30" t="inlineStr">
        <is>
          <t>Yes</t>
        </is>
      </c>
      <c r="I30" t="inlineStr">
        <is>
          <t>11-Apr-2022</t>
        </is>
      </c>
      <c r="J30" t="inlineStr">
        <is>
          <t>High</t>
        </is>
      </c>
      <c r="K30" t="inlineStr">
        <is>
          <t>Perez,</t>
        </is>
      </c>
      <c r="M30" t="inlineStr">
        <is>
          <t>04/24/12</t>
        </is>
      </c>
      <c r="N30" t="inlineStr">
        <is>
          <t>975.58</t>
        </is>
      </c>
      <c r="O30" t="inlineStr">
        <is>
          <t>Low</t>
        </is>
      </c>
      <c r="P30" t="inlineStr">
        <is>
          <t>INV0000024</t>
        </is>
      </c>
      <c r="Q30" t="inlineStr"/>
      <c r="R30" t="inlineStr">
        <is>
          <t>Conservative</t>
        </is>
      </c>
      <c r="S30" t="inlineStr">
        <is>
          <t>USD</t>
        </is>
      </c>
      <c r="T30" t="inlineStr">
        <is>
          <t>Singapore</t>
        </is>
      </c>
      <c r="U30" t="n">
        <v>1407944.75</v>
      </c>
      <c r="V30" t="inlineStr">
        <is>
          <t>See file</t>
        </is>
      </c>
      <c r="W30" t="inlineStr"/>
      <c r="X30" t="n">
        <v>4433788.23</v>
      </c>
      <c r="Y30" t="inlineStr">
        <is>
          <t>TBC</t>
        </is>
      </c>
      <c r="Z30" t="inlineStr">
        <is>
          <t>Q3 follow-up</t>
        </is>
      </c>
      <c r="AA30" t="inlineStr">
        <is>
          <t>Q3 follow-up</t>
        </is>
      </c>
      <c r="AB30" t="inlineStr">
        <is>
          <t>Yes</t>
        </is>
      </c>
      <c r="AC30" t="inlineStr">
        <is>
          <t>Low</t>
        </is>
      </c>
      <c r="AD30" t="inlineStr">
        <is>
          <t>Perez, Campbell and Ayala 0026</t>
        </is>
      </c>
      <c r="AE30" t="inlineStr">
        <is>
          <t>Q3 follow-up</t>
        </is>
      </c>
      <c r="AF30" t="inlineStr">
        <is>
          <t>n/a</t>
        </is>
      </c>
      <c r="AG30" t="inlineStr">
        <is>
          <t>Pending</t>
        </is>
      </c>
      <c r="AH30" t="n">
        <v>905275.95</v>
      </c>
      <c r="AI30" t="inlineStr">
        <is>
          <t>Low</t>
        </is>
      </c>
      <c r="AJ30" t="inlineStr">
        <is>
          <t>Pending</t>
        </is>
      </c>
      <c r="AK30" t="inlineStr">
        <is>
          <t>High</t>
        </is>
      </c>
      <c r="AL30" t="inlineStr">
        <is>
          <t>N</t>
        </is>
      </c>
      <c r="AM30" t="inlineStr">
        <is>
          <t>TBC</t>
        </is>
      </c>
      <c r="AN30" t="inlineStr">
        <is>
          <t>n/a</t>
        </is>
      </c>
      <c r="AO30" t="inlineStr">
        <is>
          <t>Y</t>
        </is>
      </c>
      <c r="AP30" t="n">
        <v>25052.09</v>
      </c>
      <c r="AQ30" t="inlineStr">
        <is>
          <t>Standard</t>
        </is>
      </c>
      <c r="AR30" t="inlineStr">
        <is>
          <t>Low</t>
        </is>
      </c>
      <c r="AS30" t="inlineStr">
        <is>
          <t>Reviewed</t>
        </is>
      </c>
      <c r="AU30" t="n">
        <v>1779111.5</v>
      </c>
      <c r="AV30" t="inlineStr">
        <is>
          <t>user529@example.org</t>
        </is>
      </c>
      <c r="AW30">
        <f>ROW()*6</f>
        <v/>
      </c>
      <c r="AY30" t="inlineStr">
        <is>
          <t>-</t>
        </is>
      </c>
      <c r="AZ30" t="inlineStr">
        <is>
          <t>See file</t>
        </is>
      </c>
      <c r="BA30" t="inlineStr">
        <is>
          <t>High</t>
        </is>
      </c>
      <c r="BB30" t="inlineStr">
        <is>
          <t>Perez, Campbell and Ayala 0026 (Legal Entity)</t>
        </is>
      </c>
      <c r="BD30" t="inlineStr">
        <is>
          <t>Y</t>
        </is>
      </c>
      <c r="BE30" t="inlineStr">
        <is>
          <t>29-Sep-2021</t>
        </is>
      </c>
    </row>
    <row r="31">
      <c r="A31" t="inlineStr">
        <is>
          <t>Inactive</t>
        </is>
      </c>
      <c r="B31" t="n">
        <v>1193861.41</v>
      </c>
      <c r="C31" t="inlineStr">
        <is>
          <t>Fund of Funds</t>
        </is>
      </c>
      <c r="D31" t="n">
        <v>1528716.98</v>
      </c>
      <c r="E31" t="n">
        <v>3914513.84</v>
      </c>
      <c r="F31" t="inlineStr"/>
      <c r="G31" t="inlineStr">
        <is>
          <t>Standard</t>
        </is>
      </c>
      <c r="H31" t="inlineStr">
        <is>
          <t>Y</t>
        </is>
      </c>
      <c r="I31" t="inlineStr">
        <is>
          <t>30-May-2023</t>
        </is>
      </c>
      <c r="J31" t="inlineStr">
        <is>
          <t>Standard</t>
        </is>
      </c>
      <c r="K31" t="inlineStr">
        <is>
          <t>Kim,</t>
        </is>
      </c>
      <c r="M31" t="inlineStr">
        <is>
          <t>24-Jul-2014</t>
        </is>
      </c>
      <c r="N31" t="inlineStr">
        <is>
          <t>3,966.83</t>
        </is>
      </c>
      <c r="O31" t="inlineStr">
        <is>
          <t>Standard</t>
        </is>
      </c>
      <c r="P31" t="inlineStr">
        <is>
          <t>INV0000025</t>
        </is>
      </c>
      <c r="Q31" t="inlineStr">
        <is>
          <t>TBC</t>
        </is>
      </c>
      <c r="R31" t="inlineStr">
        <is>
          <t>Conservative</t>
        </is>
      </c>
      <c r="S31" t="inlineStr">
        <is>
          <t>CHF</t>
        </is>
      </c>
      <c r="T31" t="inlineStr">
        <is>
          <t>Western Sahara</t>
        </is>
      </c>
      <c r="U31" t="n">
        <v>2442174.82</v>
      </c>
      <c r="V31" t="inlineStr">
        <is>
          <t>-</t>
        </is>
      </c>
      <c r="W31" t="inlineStr">
        <is>
          <t>High</t>
        </is>
      </c>
      <c r="X31" t="n">
        <v>2804960.21</v>
      </c>
      <c r="Y31" t="inlineStr">
        <is>
          <t>Low</t>
        </is>
      </c>
      <c r="Z31" t="inlineStr">
        <is>
          <t>See file</t>
        </is>
      </c>
      <c r="AA31" t="inlineStr">
        <is>
          <t>Pending</t>
        </is>
      </c>
      <c r="AB31" t="inlineStr">
        <is>
          <t>N</t>
        </is>
      </c>
      <c r="AC31" t="inlineStr">
        <is>
          <t>TBC</t>
        </is>
      </c>
      <c r="AD31" t="inlineStr">
        <is>
          <t>Kim, Davis and Smith 0024</t>
        </is>
      </c>
      <c r="AE31" t="inlineStr">
        <is>
          <t>TBC</t>
        </is>
      </c>
      <c r="AF31" t="inlineStr">
        <is>
          <t>TRUE</t>
        </is>
      </c>
      <c r="AG31" t="inlineStr">
        <is>
          <t>High</t>
        </is>
      </c>
      <c r="AH31" t="n">
        <v>4564726.91</v>
      </c>
      <c r="AI31" t="inlineStr">
        <is>
          <t>Q3 follow-up</t>
        </is>
      </c>
      <c r="AJ31" t="inlineStr">
        <is>
          <t>Reviewed</t>
        </is>
      </c>
      <c r="AK31" t="inlineStr">
        <is>
          <t>Low</t>
        </is>
      </c>
      <c r="AL31" t="inlineStr">
        <is>
          <t>TRUE</t>
        </is>
      </c>
      <c r="AM31" t="inlineStr">
        <is>
          <t>TBC</t>
        </is>
      </c>
      <c r="AN31" t="inlineStr">
        <is>
          <t>Yes</t>
        </is>
      </c>
      <c r="AO31" t="inlineStr">
        <is>
          <t>Yes</t>
        </is>
      </c>
      <c r="AP31" t="inlineStr">
        <is>
          <t>26,079.27</t>
        </is>
      </c>
      <c r="AQ31" t="inlineStr">
        <is>
          <t>-</t>
        </is>
      </c>
      <c r="AR31" t="inlineStr"/>
      <c r="AS31" t="inlineStr">
        <is>
          <t>Q3 follow-up</t>
        </is>
      </c>
      <c r="AU31" t="n">
        <v>1579687.26</v>
      </c>
      <c r="AV31" t="inlineStr">
        <is>
          <t>user153@example.org</t>
        </is>
      </c>
      <c r="AW31">
        <f>ROW()*7</f>
        <v/>
      </c>
      <c r="AY31" t="inlineStr">
        <is>
          <t>Reviewed</t>
        </is>
      </c>
      <c r="AZ31" t="inlineStr">
        <is>
          <t>TBC</t>
        </is>
      </c>
      <c r="BA31" t="inlineStr">
        <is>
          <t>-</t>
        </is>
      </c>
      <c r="BB31" t="inlineStr">
        <is>
          <t>Kim, Davis and Smith 0024 (Legal Entity)</t>
        </is>
      </c>
      <c r="BD31" t="inlineStr">
        <is>
          <t>Yes</t>
        </is>
      </c>
      <c r="BE31" t="inlineStr">
        <is>
          <t>17-Nov-2022</t>
        </is>
      </c>
    </row>
    <row r="32">
      <c r="A32" t="inlineStr">
        <is>
          <t>Inactive</t>
        </is>
      </c>
      <c r="B32" t="n">
        <v>2703173.72</v>
      </c>
      <c r="C32" t="inlineStr">
        <is>
          <t>Sovereign Wealth Fund</t>
        </is>
      </c>
      <c r="D32" t="inlineStr"/>
      <c r="E32" t="n">
        <v>3579416.88</v>
      </c>
      <c r="F32" t="inlineStr">
        <is>
          <t>See file</t>
        </is>
      </c>
      <c r="G32" t="inlineStr">
        <is>
          <t>Pending</t>
        </is>
      </c>
      <c r="H32" t="inlineStr"/>
      <c r="I32" t="inlineStr">
        <is>
          <t>08/29/22</t>
        </is>
      </c>
      <c r="J32" t="inlineStr">
        <is>
          <t>High</t>
        </is>
      </c>
      <c r="K32" t="inlineStr">
        <is>
          <t>Johnson</t>
        </is>
      </c>
      <c r="M32" t="inlineStr">
        <is>
          <t>2024-02-04</t>
        </is>
      </c>
      <c r="N32" t="inlineStr">
        <is>
          <t>2,485.82</t>
        </is>
      </c>
      <c r="O32" t="inlineStr">
        <is>
          <t>Reviewed</t>
        </is>
      </c>
      <c r="P32" t="inlineStr">
        <is>
          <t>INV0000026</t>
        </is>
      </c>
      <c r="Q32" t="inlineStr">
        <is>
          <t>TBC</t>
        </is>
      </c>
      <c r="R32" t="inlineStr">
        <is>
          <t>Aggressive</t>
        </is>
      </c>
      <c r="S32" t="inlineStr">
        <is>
          <t>GBP</t>
        </is>
      </c>
      <c r="T32" t="inlineStr">
        <is>
          <t>Equatorial Guinea</t>
        </is>
      </c>
      <c r="U32" t="inlineStr">
        <is>
          <t>-</t>
        </is>
      </c>
      <c r="V32" t="inlineStr">
        <is>
          <t>Reviewed</t>
        </is>
      </c>
      <c r="W32" t="inlineStr">
        <is>
          <t>High</t>
        </is>
      </c>
      <c r="X32" t="n">
        <v>4902411.14</v>
      </c>
      <c r="Y32" t="inlineStr">
        <is>
          <t>TBC</t>
        </is>
      </c>
      <c r="Z32" t="inlineStr">
        <is>
          <t>Standard</t>
        </is>
      </c>
      <c r="AA32" t="inlineStr">
        <is>
          <t>-</t>
        </is>
      </c>
      <c r="AB32" t="inlineStr">
        <is>
          <t>No</t>
        </is>
      </c>
      <c r="AC32" t="inlineStr">
        <is>
          <t>-</t>
        </is>
      </c>
      <c r="AD32" t="inlineStr">
        <is>
          <t>Johnson LLC 0018</t>
        </is>
      </c>
      <c r="AE32" t="inlineStr"/>
      <c r="AF32" t="inlineStr">
        <is>
          <t>TRUE</t>
        </is>
      </c>
      <c r="AG32" t="inlineStr">
        <is>
          <t>Q3 follow-up</t>
        </is>
      </c>
      <c r="AH32" t="n">
        <v>922784.8</v>
      </c>
      <c r="AI32" t="inlineStr">
        <is>
          <t>Q3 follow-up</t>
        </is>
      </c>
      <c r="AJ32" t="inlineStr">
        <is>
          <t>Q3 follow-up</t>
        </is>
      </c>
      <c r="AK32" t="inlineStr">
        <is>
          <t>Reviewed</t>
        </is>
      </c>
      <c r="AL32" t="inlineStr">
        <is>
          <t>N</t>
        </is>
      </c>
      <c r="AM32" t="inlineStr">
        <is>
          <t>TBC</t>
        </is>
      </c>
      <c r="AN32" t="inlineStr">
        <is>
          <t>Yes</t>
        </is>
      </c>
      <c r="AO32" t="inlineStr">
        <is>
          <t>No</t>
        </is>
      </c>
      <c r="AP32" t="inlineStr">
        <is>
          <t>49,879.68</t>
        </is>
      </c>
      <c r="AQ32" t="inlineStr">
        <is>
          <t>Reviewed</t>
        </is>
      </c>
      <c r="AR32" t="inlineStr">
        <is>
          <t>High</t>
        </is>
      </c>
      <c r="AS32" t="inlineStr">
        <is>
          <t>Reviewed</t>
        </is>
      </c>
      <c r="AU32" t="n">
        <v>944823.23</v>
      </c>
      <c r="AV32" t="inlineStr">
        <is>
          <t>user886@example.org</t>
        </is>
      </c>
      <c r="AW32">
        <f>ROW()*5</f>
        <v/>
      </c>
      <c r="AY32" t="inlineStr">
        <is>
          <t>Low</t>
        </is>
      </c>
      <c r="AZ32" t="inlineStr"/>
      <c r="BA32" t="inlineStr">
        <is>
          <t>-</t>
        </is>
      </c>
      <c r="BB32" t="inlineStr">
        <is>
          <t>Johnson LLC 0018 (Legal Entity)</t>
        </is>
      </c>
      <c r="BD32" t="inlineStr">
        <is>
          <t>Yes</t>
        </is>
      </c>
      <c r="BE32" t="inlineStr">
        <is>
          <t>19-Jun-2020</t>
        </is>
      </c>
    </row>
    <row r="33">
      <c r="A33" t="inlineStr">
        <is>
          <t>Active</t>
        </is>
      </c>
      <c r="B33" t="n">
        <v>1663920.86</v>
      </c>
      <c r="C33" t="inlineStr">
        <is>
          <t>Foundation</t>
        </is>
      </c>
      <c r="D33" t="inlineStr">
        <is>
          <t>--</t>
        </is>
      </c>
      <c r="E33" t="inlineStr">
        <is>
          <t>-</t>
        </is>
      </c>
      <c r="F33" t="inlineStr">
        <is>
          <t>Pending</t>
        </is>
      </c>
      <c r="G33" t="inlineStr">
        <is>
          <t>Q3 follow-up</t>
        </is>
      </c>
      <c r="H33" t="inlineStr">
        <is>
          <t>No</t>
        </is>
      </c>
      <c r="I33" t="inlineStr">
        <is>
          <t>08-Sep-2021</t>
        </is>
      </c>
      <c r="J33" t="inlineStr">
        <is>
          <t>High</t>
        </is>
      </c>
      <c r="K33" t="inlineStr">
        <is>
          <t>Esparza</t>
        </is>
      </c>
      <c r="M33" t="inlineStr">
        <is>
          <t>29/11/2013</t>
        </is>
      </c>
      <c r="N33" t="inlineStr">
        <is>
          <t>754.37</t>
        </is>
      </c>
      <c r="O33" t="inlineStr">
        <is>
          <t>Standard</t>
        </is>
      </c>
      <c r="P33" t="inlineStr">
        <is>
          <t>INV0000027</t>
        </is>
      </c>
      <c r="Q33" t="inlineStr">
        <is>
          <t>Q3 follow-up</t>
        </is>
      </c>
      <c r="R33" t="inlineStr">
        <is>
          <t>Aggressive</t>
        </is>
      </c>
      <c r="S33" t="inlineStr">
        <is>
          <t>EUR</t>
        </is>
      </c>
      <c r="T33" t="inlineStr">
        <is>
          <t>Netherlands Antilles</t>
        </is>
      </c>
      <c r="U33" t="inlineStr"/>
      <c r="V33" t="inlineStr">
        <is>
          <t>Pending</t>
        </is>
      </c>
      <c r="W33" t="inlineStr">
        <is>
          <t>Pending</t>
        </is>
      </c>
      <c r="X33" t="inlineStr">
        <is>
          <t>-</t>
        </is>
      </c>
      <c r="Y33" t="inlineStr">
        <is>
          <t>High</t>
        </is>
      </c>
      <c r="Z33" t="inlineStr">
        <is>
          <t>Low</t>
        </is>
      </c>
      <c r="AA33" t="inlineStr">
        <is>
          <t>See file</t>
        </is>
      </c>
      <c r="AB33" t="inlineStr">
        <is>
          <t>TRUE</t>
        </is>
      </c>
      <c r="AC33" t="inlineStr"/>
      <c r="AD33" t="inlineStr">
        <is>
          <t>Esparza Ltd 0017</t>
        </is>
      </c>
      <c r="AE33" t="inlineStr">
        <is>
          <t>Standard</t>
        </is>
      </c>
      <c r="AF33" t="inlineStr">
        <is>
          <t>n/a</t>
        </is>
      </c>
      <c r="AG33" t="inlineStr">
        <is>
          <t>Low</t>
        </is>
      </c>
      <c r="AH33" t="n">
        <v>623252.24</v>
      </c>
      <c r="AI33" t="inlineStr">
        <is>
          <t>High</t>
        </is>
      </c>
      <c r="AJ33" t="inlineStr">
        <is>
          <t>TBC</t>
        </is>
      </c>
      <c r="AK33" t="inlineStr">
        <is>
          <t>High</t>
        </is>
      </c>
      <c r="AL33" t="inlineStr"/>
      <c r="AM33" t="inlineStr">
        <is>
          <t>TBC</t>
        </is>
      </c>
      <c r="AN33" t="inlineStr">
        <is>
          <t>n/a</t>
        </is>
      </c>
      <c r="AO33" t="inlineStr">
        <is>
          <t>Yes</t>
        </is>
      </c>
      <c r="AP33" t="inlineStr">
        <is>
          <t>20,431.28</t>
        </is>
      </c>
      <c r="AQ33" t="inlineStr"/>
      <c r="AR33" t="inlineStr"/>
      <c r="AS33" t="inlineStr">
        <is>
          <t>Low</t>
        </is>
      </c>
      <c r="AU33" t="n">
        <v>617853.13</v>
      </c>
      <c r="AV33" t="inlineStr">
        <is>
          <t>user990@example.org</t>
        </is>
      </c>
      <c r="AW33">
        <f>ROW()*5</f>
        <v/>
      </c>
      <c r="AY33" t="inlineStr">
        <is>
          <t>See file</t>
        </is>
      </c>
      <c r="AZ33" t="inlineStr">
        <is>
          <t>-</t>
        </is>
      </c>
      <c r="BA33" t="inlineStr">
        <is>
          <t>Low</t>
        </is>
      </c>
      <c r="BB33" t="inlineStr">
        <is>
          <t>Esparza Ltd 0017 (Legal Entity)</t>
        </is>
      </c>
      <c r="BD33" t="inlineStr">
        <is>
          <t>No</t>
        </is>
      </c>
      <c r="BE33" t="inlineStr">
        <is>
          <t>2024-09-09</t>
        </is>
      </c>
    </row>
    <row r="34">
      <c r="A34" t="inlineStr">
        <is>
          <t>Active</t>
        </is>
      </c>
      <c r="B34" t="n">
        <v>4881387.76</v>
      </c>
      <c r="C34" t="inlineStr">
        <is>
          <t>High Net Worth Individual</t>
        </is>
      </c>
      <c r="D34" t="n">
        <v>4015711.76</v>
      </c>
      <c r="E34" t="n">
        <v>3062683.65</v>
      </c>
      <c r="F34" t="inlineStr">
        <is>
          <t>Reviewed</t>
        </is>
      </c>
      <c r="G34" t="inlineStr">
        <is>
          <t>TBC</t>
        </is>
      </c>
      <c r="H34" t="inlineStr">
        <is>
          <t>n/a</t>
        </is>
      </c>
      <c r="I34" t="inlineStr">
        <is>
          <t>15-Sep-2022</t>
        </is>
      </c>
      <c r="J34" t="inlineStr">
        <is>
          <t>Q3 follow-up</t>
        </is>
      </c>
      <c r="K34" t="inlineStr">
        <is>
          <t>Ferguson,</t>
        </is>
      </c>
      <c r="M34" t="inlineStr">
        <is>
          <t>2010-05-13</t>
        </is>
      </c>
      <c r="N34" t="inlineStr">
        <is>
          <t>1,842.63</t>
        </is>
      </c>
      <c r="O34" t="inlineStr">
        <is>
          <t>Low</t>
        </is>
      </c>
      <c r="P34" t="inlineStr">
        <is>
          <t>INV0000028</t>
        </is>
      </c>
      <c r="Q34" t="inlineStr">
        <is>
          <t>Pending</t>
        </is>
      </c>
      <c r="R34" t="inlineStr">
        <is>
          <t>Moderate</t>
        </is>
      </c>
      <c r="S34" t="inlineStr">
        <is>
          <t>USD</t>
        </is>
      </c>
      <c r="T34" t="inlineStr">
        <is>
          <t>Guam</t>
        </is>
      </c>
      <c r="U34" t="n">
        <v>2763058.04</v>
      </c>
      <c r="V34" t="inlineStr">
        <is>
          <t>Standard</t>
        </is>
      </c>
      <c r="W34" t="inlineStr">
        <is>
          <t>High</t>
        </is>
      </c>
      <c r="X34" t="inlineStr"/>
      <c r="Y34" t="inlineStr"/>
      <c r="Z34" t="inlineStr">
        <is>
          <t>Low</t>
        </is>
      </c>
      <c r="AA34" t="inlineStr">
        <is>
          <t>TBC</t>
        </is>
      </c>
      <c r="AB34" t="inlineStr">
        <is>
          <t>No</t>
        </is>
      </c>
      <c r="AC34" t="inlineStr">
        <is>
          <t>Reviewed</t>
        </is>
      </c>
      <c r="AD34" t="inlineStr">
        <is>
          <t>Ferguson, Jones and Lee 0037</t>
        </is>
      </c>
      <c r="AE34" t="inlineStr"/>
      <c r="AF34" t="inlineStr">
        <is>
          <t>N</t>
        </is>
      </c>
      <c r="AG34" t="inlineStr">
        <is>
          <t>Low</t>
        </is>
      </c>
      <c r="AH34" t="n">
        <v>4657389.56</v>
      </c>
      <c r="AI34" t="inlineStr">
        <is>
          <t>Standard</t>
        </is>
      </c>
      <c r="AJ34" t="inlineStr">
        <is>
          <t>Q3 follow-up</t>
        </is>
      </c>
      <c r="AK34" t="inlineStr">
        <is>
          <t>TBC</t>
        </is>
      </c>
      <c r="AL34" t="inlineStr">
        <is>
          <t>No</t>
        </is>
      </c>
      <c r="AM34" t="inlineStr">
        <is>
          <t>High</t>
        </is>
      </c>
      <c r="AN34" t="inlineStr">
        <is>
          <t>Y</t>
        </is>
      </c>
      <c r="AO34" t="inlineStr">
        <is>
          <t>N</t>
        </is>
      </c>
      <c r="AP34" t="inlineStr">
        <is>
          <t>13,742.08</t>
        </is>
      </c>
      <c r="AQ34" t="inlineStr">
        <is>
          <t>Reviewed</t>
        </is>
      </c>
      <c r="AR34" t="inlineStr">
        <is>
          <t>Pending</t>
        </is>
      </c>
      <c r="AS34" t="inlineStr">
        <is>
          <t>TBC</t>
        </is>
      </c>
      <c r="AU34" t="n">
        <v>387924.75</v>
      </c>
      <c r="AV34" t="inlineStr">
        <is>
          <t>user636@example.org</t>
        </is>
      </c>
      <c r="AW34">
        <f>ROW()*2</f>
        <v/>
      </c>
      <c r="AY34" t="inlineStr">
        <is>
          <t>TBC</t>
        </is>
      </c>
      <c r="AZ34" t="inlineStr">
        <is>
          <t>Q3 follow-up</t>
        </is>
      </c>
      <c r="BA34" t="inlineStr">
        <is>
          <t>Standard</t>
        </is>
      </c>
      <c r="BB34" t="inlineStr">
        <is>
          <t>Ferguson, Jones and Lee 0037 (Legal Entity)</t>
        </is>
      </c>
      <c r="BD34" t="inlineStr"/>
      <c r="BE34" t="inlineStr">
        <is>
          <t>20-Jul-2024</t>
        </is>
      </c>
    </row>
    <row r="35">
      <c r="A35" t="inlineStr">
        <is>
          <t>Active</t>
        </is>
      </c>
      <c r="B35" t="n">
        <v>4676110.35</v>
      </c>
      <c r="C35" t="inlineStr">
        <is>
          <t>Foundation</t>
        </is>
      </c>
      <c r="D35" t="inlineStr"/>
      <c r="E35" t="n">
        <v>3878855.54</v>
      </c>
      <c r="F35" t="inlineStr">
        <is>
          <t>Standard</t>
        </is>
      </c>
      <c r="G35" t="inlineStr">
        <is>
          <t>Standard</t>
        </is>
      </c>
      <c r="H35" t="inlineStr">
        <is>
          <t>No</t>
        </is>
      </c>
      <c r="I35" t="inlineStr">
        <is>
          <t>2020-10-05</t>
        </is>
      </c>
      <c r="J35" t="inlineStr">
        <is>
          <t>High</t>
        </is>
      </c>
      <c r="K35" t="inlineStr">
        <is>
          <t>Velazquez,</t>
        </is>
      </c>
      <c r="M35" t="inlineStr">
        <is>
          <t>28/08/2023</t>
        </is>
      </c>
      <c r="N35" t="n">
        <v>4803.8117</v>
      </c>
      <c r="O35" t="inlineStr">
        <is>
          <t>Reviewed</t>
        </is>
      </c>
      <c r="P35" t="inlineStr">
        <is>
          <t>INV0000029</t>
        </is>
      </c>
      <c r="Q35" t="inlineStr">
        <is>
          <t>-</t>
        </is>
      </c>
      <c r="R35" t="inlineStr">
        <is>
          <t>Aggressive</t>
        </is>
      </c>
      <c r="S35" t="inlineStr">
        <is>
          <t>USD</t>
        </is>
      </c>
      <c r="T35" t="inlineStr">
        <is>
          <t>Ghana</t>
        </is>
      </c>
      <c r="U35" t="n">
        <v>269074.03</v>
      </c>
      <c r="V35" t="inlineStr">
        <is>
          <t>See file</t>
        </is>
      </c>
      <c r="W35" t="inlineStr">
        <is>
          <t>TBC</t>
        </is>
      </c>
      <c r="X35" t="n">
        <v>3331490.12</v>
      </c>
      <c r="Y35" t="inlineStr">
        <is>
          <t>Reviewed</t>
        </is>
      </c>
      <c r="Z35" t="inlineStr">
        <is>
          <t>-</t>
        </is>
      </c>
      <c r="AA35" t="inlineStr">
        <is>
          <t>High</t>
        </is>
      </c>
      <c r="AB35" t="inlineStr">
        <is>
          <t>TRUE</t>
        </is>
      </c>
      <c r="AC35" t="inlineStr">
        <is>
          <t>Standard</t>
        </is>
      </c>
      <c r="AD35" t="inlineStr">
        <is>
          <t>Velazquez, Peters and Fuller 0011</t>
        </is>
      </c>
      <c r="AE35" t="inlineStr">
        <is>
          <t>High</t>
        </is>
      </c>
      <c r="AF35" t="inlineStr">
        <is>
          <t>Y</t>
        </is>
      </c>
      <c r="AG35" t="inlineStr">
        <is>
          <t>Pending</t>
        </is>
      </c>
      <c r="AH35" t="n">
        <v>3368358.99</v>
      </c>
      <c r="AI35" t="inlineStr">
        <is>
          <t>Reviewed</t>
        </is>
      </c>
      <c r="AJ35" t="inlineStr"/>
      <c r="AK35" t="inlineStr">
        <is>
          <t>Q3 follow-up</t>
        </is>
      </c>
      <c r="AL35" t="inlineStr"/>
      <c r="AM35" t="inlineStr">
        <is>
          <t>High</t>
        </is>
      </c>
      <c r="AN35" t="inlineStr">
        <is>
          <t>Y</t>
        </is>
      </c>
      <c r="AO35" t="inlineStr">
        <is>
          <t>Yes</t>
        </is>
      </c>
      <c r="AP35" t="n">
        <v>46771.31</v>
      </c>
      <c r="AQ35" t="inlineStr">
        <is>
          <t>Q3 follow-up</t>
        </is>
      </c>
      <c r="AR35" t="inlineStr">
        <is>
          <t>TBC</t>
        </is>
      </c>
      <c r="AS35" t="inlineStr">
        <is>
          <t>-</t>
        </is>
      </c>
      <c r="AU35" t="n">
        <v>347632.83</v>
      </c>
      <c r="AV35" t="inlineStr">
        <is>
          <t>user537@example.org</t>
        </is>
      </c>
      <c r="AW35">
        <f>ROW()*9</f>
        <v/>
      </c>
      <c r="AY35" t="inlineStr">
        <is>
          <t>Q3 follow-up</t>
        </is>
      </c>
      <c r="AZ35" t="inlineStr">
        <is>
          <t>High</t>
        </is>
      </c>
      <c r="BA35" t="inlineStr">
        <is>
          <t>TBC</t>
        </is>
      </c>
      <c r="BB35" t="inlineStr">
        <is>
          <t>Velazquez, Peters and Fuller 0011 (Legal Entity)</t>
        </is>
      </c>
      <c r="BD35" t="inlineStr"/>
      <c r="BE35" t="inlineStr">
        <is>
          <t>2024-05-10</t>
        </is>
      </c>
    </row>
    <row r="36">
      <c r="A36" t="inlineStr">
        <is>
          <t>Active</t>
        </is>
      </c>
      <c r="B36" t="n">
        <v>4953159.11</v>
      </c>
      <c r="C36" t="inlineStr">
        <is>
          <t>Pension Fund</t>
        </is>
      </c>
      <c r="D36" t="n">
        <v>1977130</v>
      </c>
      <c r="E36" t="n">
        <v>586545.91</v>
      </c>
      <c r="F36" t="inlineStr">
        <is>
          <t>Low</t>
        </is>
      </c>
      <c r="G36" t="inlineStr">
        <is>
          <t>Pending</t>
        </is>
      </c>
      <c r="H36" t="inlineStr">
        <is>
          <t>No</t>
        </is>
      </c>
      <c r="I36" t="inlineStr">
        <is>
          <t>2024-05-25</t>
        </is>
      </c>
      <c r="J36" t="inlineStr">
        <is>
          <t>Pending</t>
        </is>
      </c>
      <c r="K36" t="inlineStr">
        <is>
          <t>Miller,</t>
        </is>
      </c>
      <c r="M36" t="inlineStr">
        <is>
          <t>02/01/12</t>
        </is>
      </c>
      <c r="N36" t="inlineStr">
        <is>
          <t>2,121.18</t>
        </is>
      </c>
      <c r="O36" t="inlineStr">
        <is>
          <t>Q3 follow-up</t>
        </is>
      </c>
      <c r="P36" t="inlineStr">
        <is>
          <t>INV0000030</t>
        </is>
      </c>
      <c r="Q36" t="inlineStr">
        <is>
          <t>TBC</t>
        </is>
      </c>
      <c r="R36" t="inlineStr">
        <is>
          <t>Conservative</t>
        </is>
      </c>
      <c r="S36" t="inlineStr">
        <is>
          <t>USD</t>
        </is>
      </c>
      <c r="T36" t="inlineStr">
        <is>
          <t>Gibraltar</t>
        </is>
      </c>
      <c r="U36" t="n">
        <v>3270791.88</v>
      </c>
      <c r="V36" t="inlineStr">
        <is>
          <t>High</t>
        </is>
      </c>
      <c r="W36" t="inlineStr">
        <is>
          <t>See file</t>
        </is>
      </c>
      <c r="X36" t="n">
        <v>4795233.77</v>
      </c>
      <c r="Y36" t="inlineStr">
        <is>
          <t>Q3 follow-up</t>
        </is>
      </c>
      <c r="Z36" t="inlineStr">
        <is>
          <t>Standard</t>
        </is>
      </c>
      <c r="AA36" t="inlineStr">
        <is>
          <t>High</t>
        </is>
      </c>
      <c r="AB36" t="inlineStr">
        <is>
          <t>Y</t>
        </is>
      </c>
      <c r="AC36" t="inlineStr"/>
      <c r="AD36" t="inlineStr">
        <is>
          <t>Miller, Brown and Petersen 0034</t>
        </is>
      </c>
      <c r="AE36" t="inlineStr">
        <is>
          <t>Q3 follow-up</t>
        </is>
      </c>
      <c r="AF36" t="inlineStr">
        <is>
          <t>Y</t>
        </is>
      </c>
      <c r="AG36" t="inlineStr">
        <is>
          <t>Q3 follow-up</t>
        </is>
      </c>
      <c r="AH36" t="n">
        <v>4081961.21</v>
      </c>
      <c r="AI36" t="inlineStr">
        <is>
          <t>Standard</t>
        </is>
      </c>
      <c r="AJ36" t="inlineStr">
        <is>
          <t>High</t>
        </is>
      </c>
      <c r="AK36" t="inlineStr">
        <is>
          <t>Q3 follow-up</t>
        </is>
      </c>
      <c r="AL36" t="inlineStr">
        <is>
          <t>N</t>
        </is>
      </c>
      <c r="AM36" t="inlineStr">
        <is>
          <t>Reviewed</t>
        </is>
      </c>
      <c r="AN36" t="inlineStr">
        <is>
          <t>Y</t>
        </is>
      </c>
      <c r="AO36" t="inlineStr"/>
      <c r="AP36" t="n">
        <v>20515.47</v>
      </c>
      <c r="AQ36" t="inlineStr">
        <is>
          <t>Reviewed</t>
        </is>
      </c>
      <c r="AR36" t="inlineStr">
        <is>
          <t>See file</t>
        </is>
      </c>
      <c r="AS36" t="inlineStr">
        <is>
          <t>Reviewed</t>
        </is>
      </c>
      <c r="AU36" t="n">
        <v>1388303.45</v>
      </c>
      <c r="AV36" t="inlineStr">
        <is>
          <t>user108@example.org</t>
        </is>
      </c>
      <c r="AW36">
        <f>ROW()*4</f>
        <v/>
      </c>
      <c r="AY36" t="inlineStr">
        <is>
          <t>Low</t>
        </is>
      </c>
      <c r="AZ36" t="inlineStr">
        <is>
          <t>High</t>
        </is>
      </c>
      <c r="BA36" t="inlineStr">
        <is>
          <t>Q3 follow-up</t>
        </is>
      </c>
      <c r="BB36" t="inlineStr">
        <is>
          <t>Miller, Brown and Petersen 0034 (Legal Entity)</t>
        </is>
      </c>
      <c r="BD36" t="inlineStr">
        <is>
          <t>N</t>
        </is>
      </c>
      <c r="BE36" t="inlineStr">
        <is>
          <t>06/27/21</t>
        </is>
      </c>
    </row>
    <row r="37">
      <c r="A37" t="inlineStr">
        <is>
          <t>Active</t>
        </is>
      </c>
      <c r="B37" t="n">
        <v>559652.83</v>
      </c>
      <c r="C37" t="inlineStr">
        <is>
          <t>Foundation</t>
        </is>
      </c>
      <c r="D37" t="n">
        <v>3310821.72</v>
      </c>
      <c r="E37" t="n">
        <v>3475985.38</v>
      </c>
      <c r="F37" t="inlineStr">
        <is>
          <t>TBC</t>
        </is>
      </c>
      <c r="G37" t="inlineStr">
        <is>
          <t>Q3 follow-up</t>
        </is>
      </c>
      <c r="H37" t="inlineStr">
        <is>
          <t>n/a</t>
        </is>
      </c>
      <c r="I37" t="inlineStr">
        <is>
          <t>10/10/2024</t>
        </is>
      </c>
      <c r="J37" t="inlineStr">
        <is>
          <t>Q3 follow-up</t>
        </is>
      </c>
      <c r="K37" t="inlineStr">
        <is>
          <t>Garcia</t>
        </is>
      </c>
      <c r="M37" t="inlineStr">
        <is>
          <t>01/01/26</t>
        </is>
      </c>
      <c r="N37" t="inlineStr">
        <is>
          <t>3,165.88</t>
        </is>
      </c>
      <c r="O37" t="inlineStr">
        <is>
          <t>Reviewed</t>
        </is>
      </c>
      <c r="P37" t="inlineStr">
        <is>
          <t>INV0000031</t>
        </is>
      </c>
      <c r="Q37" t="inlineStr">
        <is>
          <t>Low</t>
        </is>
      </c>
      <c r="R37" t="inlineStr">
        <is>
          <t>Conservative</t>
        </is>
      </c>
      <c r="S37" t="inlineStr">
        <is>
          <t>USD</t>
        </is>
      </c>
      <c r="T37" t="inlineStr">
        <is>
          <t>Korea</t>
        </is>
      </c>
      <c r="U37" t="n">
        <v>3458584.14</v>
      </c>
      <c r="V37" t="inlineStr">
        <is>
          <t>Standard</t>
        </is>
      </c>
      <c r="W37" t="inlineStr">
        <is>
          <t>Pending</t>
        </is>
      </c>
      <c r="X37" t="n">
        <v>3815985.85</v>
      </c>
      <c r="Y37" t="inlineStr">
        <is>
          <t>See file</t>
        </is>
      </c>
      <c r="Z37" t="inlineStr">
        <is>
          <t>TBC</t>
        </is>
      </c>
      <c r="AA37" t="inlineStr">
        <is>
          <t>Standard</t>
        </is>
      </c>
      <c r="AB37" t="inlineStr">
        <is>
          <t>n/a</t>
        </is>
      </c>
      <c r="AC37" t="inlineStr">
        <is>
          <t>Low</t>
        </is>
      </c>
      <c r="AD37" t="inlineStr">
        <is>
          <t>Garcia Group 0013</t>
        </is>
      </c>
      <c r="AE37" t="inlineStr">
        <is>
          <t>-</t>
        </is>
      </c>
      <c r="AF37" t="inlineStr">
        <is>
          <t>Y</t>
        </is>
      </c>
      <c r="AG37" t="inlineStr">
        <is>
          <t>See file</t>
        </is>
      </c>
      <c r="AH37" t="n">
        <v>688845.95</v>
      </c>
      <c r="AI37" t="inlineStr">
        <is>
          <t>High</t>
        </is>
      </c>
      <c r="AJ37" t="inlineStr">
        <is>
          <t>High</t>
        </is>
      </c>
      <c r="AK37" t="inlineStr">
        <is>
          <t>High</t>
        </is>
      </c>
      <c r="AL37" t="inlineStr">
        <is>
          <t>TRUE</t>
        </is>
      </c>
      <c r="AM37" t="inlineStr">
        <is>
          <t>Reviewed</t>
        </is>
      </c>
      <c r="AN37" t="inlineStr">
        <is>
          <t>Yes</t>
        </is>
      </c>
      <c r="AO37" t="inlineStr">
        <is>
          <t>N</t>
        </is>
      </c>
      <c r="AP37" t="n">
        <v>33210.33</v>
      </c>
      <c r="AQ37" t="inlineStr">
        <is>
          <t>Reviewed</t>
        </is>
      </c>
      <c r="AR37" t="inlineStr">
        <is>
          <t>Pending</t>
        </is>
      </c>
      <c r="AS37" t="inlineStr">
        <is>
          <t>-</t>
        </is>
      </c>
      <c r="AU37" t="n">
        <v>643389.99</v>
      </c>
      <c r="AV37" t="inlineStr">
        <is>
          <t>user988@example.org</t>
        </is>
      </c>
      <c r="AW37">
        <f>ROW()*5</f>
        <v/>
      </c>
      <c r="AY37" t="inlineStr">
        <is>
          <t>Reviewed</t>
        </is>
      </c>
      <c r="AZ37" t="inlineStr">
        <is>
          <t>Q3 follow-up</t>
        </is>
      </c>
      <c r="BA37" t="inlineStr">
        <is>
          <t>High</t>
        </is>
      </c>
      <c r="BB37" t="inlineStr">
        <is>
          <t>Garcia Group 0013 (Legal Entity)</t>
        </is>
      </c>
      <c r="BD37" t="inlineStr">
        <is>
          <t>n/a</t>
        </is>
      </c>
      <c r="BE37" t="inlineStr">
        <is>
          <t>03/25/21</t>
        </is>
      </c>
    </row>
    <row r="38">
      <c r="A38" t="inlineStr">
        <is>
          <t>Inactive</t>
        </is>
      </c>
      <c r="B38" t="n">
        <v>519736.07</v>
      </c>
      <c r="C38" t="inlineStr">
        <is>
          <t>Family Office</t>
        </is>
      </c>
      <c r="D38" t="n">
        <v>1000984.47</v>
      </c>
      <c r="E38" t="n">
        <v>363054.72</v>
      </c>
      <c r="F38" t="inlineStr">
        <is>
          <t>-</t>
        </is>
      </c>
      <c r="G38" t="inlineStr">
        <is>
          <t>High</t>
        </is>
      </c>
      <c r="H38" t="inlineStr">
        <is>
          <t>No</t>
        </is>
      </c>
      <c r="I38" t="inlineStr">
        <is>
          <t>10/01/2024</t>
        </is>
      </c>
      <c r="J38" t="inlineStr">
        <is>
          <t>Standard</t>
        </is>
      </c>
      <c r="K38" t="inlineStr">
        <is>
          <t>Arroyo</t>
        </is>
      </c>
      <c r="M38" t="inlineStr">
        <is>
          <t>13-Jun-2020</t>
        </is>
      </c>
      <c r="N38" t="inlineStr">
        <is>
          <t>4,047.14</t>
        </is>
      </c>
      <c r="O38" t="inlineStr"/>
      <c r="P38" t="inlineStr">
        <is>
          <t>inv0000015</t>
        </is>
      </c>
      <c r="Q38" t="inlineStr">
        <is>
          <t>See file</t>
        </is>
      </c>
      <c r="R38" t="inlineStr">
        <is>
          <t>Moderate</t>
        </is>
      </c>
      <c r="S38" t="inlineStr">
        <is>
          <t>USD</t>
        </is>
      </c>
      <c r="T38" t="inlineStr">
        <is>
          <t>Estonia</t>
        </is>
      </c>
      <c r="U38" t="n">
        <v>1032238.18</v>
      </c>
      <c r="V38" t="inlineStr">
        <is>
          <t>Pending</t>
        </is>
      </c>
      <c r="W38" t="inlineStr">
        <is>
          <t>-</t>
        </is>
      </c>
      <c r="X38" t="n">
        <v>4602829.02</v>
      </c>
      <c r="Y38" t="inlineStr">
        <is>
          <t>High</t>
        </is>
      </c>
      <c r="Z38" t="inlineStr">
        <is>
          <t>Standard</t>
        </is>
      </c>
      <c r="AA38" t="inlineStr">
        <is>
          <t>-</t>
        </is>
      </c>
      <c r="AB38" t="inlineStr">
        <is>
          <t>TRUE</t>
        </is>
      </c>
      <c r="AC38" t="inlineStr"/>
      <c r="AD38" t="inlineStr">
        <is>
          <t>Arroyo Inc 0023</t>
        </is>
      </c>
      <c r="AE38" t="inlineStr">
        <is>
          <t>TBC</t>
        </is>
      </c>
      <c r="AF38" t="inlineStr"/>
      <c r="AG38" t="inlineStr">
        <is>
          <t>Q3 follow-up</t>
        </is>
      </c>
      <c r="AH38" t="n">
        <v>1769210.49</v>
      </c>
      <c r="AI38" t="inlineStr">
        <is>
          <t>Standard</t>
        </is>
      </c>
      <c r="AJ38" t="inlineStr">
        <is>
          <t>See file</t>
        </is>
      </c>
      <c r="AK38" t="inlineStr">
        <is>
          <t>Reviewed</t>
        </is>
      </c>
      <c r="AL38" t="inlineStr">
        <is>
          <t>n/a</t>
        </is>
      </c>
      <c r="AM38" t="inlineStr">
        <is>
          <t>Pending</t>
        </is>
      </c>
      <c r="AN38" t="inlineStr">
        <is>
          <t>TRUE</t>
        </is>
      </c>
      <c r="AO38" t="inlineStr">
        <is>
          <t>No</t>
        </is>
      </c>
      <c r="AP38" t="n">
        <v>33051.2</v>
      </c>
      <c r="AQ38" t="inlineStr">
        <is>
          <t>Pending</t>
        </is>
      </c>
      <c r="AR38" t="inlineStr">
        <is>
          <t>-</t>
        </is>
      </c>
      <c r="AS38" t="inlineStr">
        <is>
          <t>Reviewed</t>
        </is>
      </c>
      <c r="AU38" t="n">
        <v>4513037.95</v>
      </c>
      <c r="AV38" t="inlineStr">
        <is>
          <t>user500@example.org</t>
        </is>
      </c>
      <c r="AW38">
        <f>ROW()*4</f>
        <v/>
      </c>
      <c r="AY38" t="inlineStr">
        <is>
          <t>TBC</t>
        </is>
      </c>
      <c r="AZ38" t="inlineStr">
        <is>
          <t>Q3 follow-up</t>
        </is>
      </c>
      <c r="BA38" t="inlineStr">
        <is>
          <t>Q3 follow-up</t>
        </is>
      </c>
      <c r="BB38" t="inlineStr">
        <is>
          <t>Arroyo Inc 0023 (Legal Entity)</t>
        </is>
      </c>
      <c r="BD38" t="inlineStr">
        <is>
          <t>Yes</t>
        </is>
      </c>
      <c r="BE38" t="inlineStr">
        <is>
          <t>17/04/2020</t>
        </is>
      </c>
    </row>
    <row r="39">
      <c r="A39" t="inlineStr">
        <is>
          <t>Active</t>
        </is>
      </c>
      <c r="B39" t="n">
        <v>4930271.86</v>
      </c>
      <c r="C39" t="inlineStr">
        <is>
          <t>Pension Fund</t>
        </is>
      </c>
      <c r="D39" t="n">
        <v>2435786.09</v>
      </c>
      <c r="E39" t="n">
        <v>4812163.63</v>
      </c>
      <c r="F39" t="inlineStr">
        <is>
          <t>Q3 follow-up</t>
        </is>
      </c>
      <c r="G39" t="inlineStr">
        <is>
          <t>Standard</t>
        </is>
      </c>
      <c r="H39" t="inlineStr">
        <is>
          <t>N</t>
        </is>
      </c>
      <c r="I39" t="inlineStr">
        <is>
          <t>2022-06-30</t>
        </is>
      </c>
      <c r="J39" t="inlineStr">
        <is>
          <t>Low</t>
        </is>
      </c>
      <c r="K39" t="inlineStr">
        <is>
          <t>Wong-Holloway</t>
        </is>
      </c>
      <c r="M39" t="inlineStr">
        <is>
          <t>22/06/2010</t>
        </is>
      </c>
      <c r="N39" t="inlineStr">
        <is>
          <t>1,773.73</t>
        </is>
      </c>
      <c r="O39" t="inlineStr">
        <is>
          <t>TBC</t>
        </is>
      </c>
      <c r="P39" t="inlineStr">
        <is>
          <t>INV0000032</t>
        </is>
      </c>
      <c r="Q39" t="inlineStr">
        <is>
          <t>Pending</t>
        </is>
      </c>
      <c r="R39" t="inlineStr">
        <is>
          <t>Moderate</t>
        </is>
      </c>
      <c r="S39" t="inlineStr">
        <is>
          <t>EUR</t>
        </is>
      </c>
      <c r="T39" t="inlineStr">
        <is>
          <t>Guadeloupe</t>
        </is>
      </c>
      <c r="U39" t="n">
        <v>4038640.04</v>
      </c>
      <c r="V39" t="inlineStr">
        <is>
          <t>Pending</t>
        </is>
      </c>
      <c r="W39" t="inlineStr"/>
      <c r="X39" t="n">
        <v>3325134.64</v>
      </c>
      <c r="Y39" t="inlineStr">
        <is>
          <t>Low</t>
        </is>
      </c>
      <c r="Z39" t="inlineStr">
        <is>
          <t>Low</t>
        </is>
      </c>
      <c r="AA39" t="inlineStr">
        <is>
          <t>Low</t>
        </is>
      </c>
      <c r="AB39" t="inlineStr"/>
      <c r="AC39" t="inlineStr">
        <is>
          <t>Pending</t>
        </is>
      </c>
      <c r="AD39" t="inlineStr">
        <is>
          <t>Wong-Holloway 0035</t>
        </is>
      </c>
      <c r="AE39" t="inlineStr">
        <is>
          <t>Q3 follow-up</t>
        </is>
      </c>
      <c r="AF39" t="inlineStr">
        <is>
          <t>n/a</t>
        </is>
      </c>
      <c r="AG39" t="inlineStr">
        <is>
          <t>See file</t>
        </is>
      </c>
      <c r="AH39" t="n">
        <v>835767.05</v>
      </c>
      <c r="AI39" t="inlineStr">
        <is>
          <t>Low</t>
        </is>
      </c>
      <c r="AJ39" t="inlineStr">
        <is>
          <t>Low</t>
        </is>
      </c>
      <c r="AK39" t="inlineStr">
        <is>
          <t>-</t>
        </is>
      </c>
      <c r="AL39" t="inlineStr">
        <is>
          <t>n/a</t>
        </is>
      </c>
      <c r="AM39" t="inlineStr">
        <is>
          <t>-</t>
        </is>
      </c>
      <c r="AN39" t="inlineStr">
        <is>
          <t>N</t>
        </is>
      </c>
      <c r="AO39" t="inlineStr">
        <is>
          <t>Yes</t>
        </is>
      </c>
      <c r="AP39" t="n">
        <v>9950.969999999999</v>
      </c>
      <c r="AQ39" t="inlineStr">
        <is>
          <t>Pending</t>
        </is>
      </c>
      <c r="AR39" t="inlineStr">
        <is>
          <t>Reviewed</t>
        </is>
      </c>
      <c r="AS39" t="inlineStr">
        <is>
          <t>TBC</t>
        </is>
      </c>
      <c r="AU39" t="n">
        <v>3946675.13</v>
      </c>
      <c r="AV39" t="inlineStr">
        <is>
          <t>user618@example.org</t>
        </is>
      </c>
      <c r="AW39">
        <f>ROW()*5</f>
        <v/>
      </c>
      <c r="AY39" t="inlineStr">
        <is>
          <t>TBC</t>
        </is>
      </c>
      <c r="AZ39" t="inlineStr">
        <is>
          <t>-</t>
        </is>
      </c>
      <c r="BA39" t="inlineStr">
        <is>
          <t>TBC</t>
        </is>
      </c>
      <c r="BB39" t="inlineStr">
        <is>
          <t>Wong-Holloway 0035 (Legal Entity)</t>
        </is>
      </c>
      <c r="BD39" t="inlineStr">
        <is>
          <t>Y</t>
        </is>
      </c>
      <c r="BE39" t="inlineStr">
        <is>
          <t>02/09/2024</t>
        </is>
      </c>
    </row>
    <row r="40">
      <c r="A40" t="inlineStr">
        <is>
          <t>Active</t>
        </is>
      </c>
      <c r="B40" t="n">
        <v>1486694.92</v>
      </c>
      <c r="C40" t="inlineStr">
        <is>
          <t>Pension Fund</t>
        </is>
      </c>
      <c r="D40" t="n">
        <v>3534381.87</v>
      </c>
      <c r="E40" t="n">
        <v>309599.39</v>
      </c>
      <c r="F40" t="inlineStr">
        <is>
          <t>Standard</t>
        </is>
      </c>
      <c r="G40" t="inlineStr">
        <is>
          <t>See file</t>
        </is>
      </c>
      <c r="H40" t="inlineStr">
        <is>
          <t>TRUE</t>
        </is>
      </c>
      <c r="I40" t="inlineStr">
        <is>
          <t>29/06/2024</t>
        </is>
      </c>
      <c r="J40" t="inlineStr">
        <is>
          <t>-</t>
        </is>
      </c>
      <c r="K40" t="inlineStr">
        <is>
          <t>Bell-Fitzgerald</t>
        </is>
      </c>
      <c r="M40" t="inlineStr">
        <is>
          <t>09/11/2011</t>
        </is>
      </c>
      <c r="N40" t="inlineStr">
        <is>
          <t>2,793.45</t>
        </is>
      </c>
      <c r="O40" t="inlineStr">
        <is>
          <t>TBC</t>
        </is>
      </c>
      <c r="P40" t="inlineStr">
        <is>
          <t>INV0000033</t>
        </is>
      </c>
      <c r="Q40" t="inlineStr">
        <is>
          <t>Q3 follow-up</t>
        </is>
      </c>
      <c r="R40" t="inlineStr">
        <is>
          <t>Conservative</t>
        </is>
      </c>
      <c r="S40" t="inlineStr">
        <is>
          <t>USD</t>
        </is>
      </c>
      <c r="T40" t="inlineStr">
        <is>
          <t>Saint Barthelemy</t>
        </is>
      </c>
      <c r="U40" t="n">
        <v>1258803.4</v>
      </c>
      <c r="V40" t="inlineStr">
        <is>
          <t>-</t>
        </is>
      </c>
      <c r="W40" t="inlineStr">
        <is>
          <t>Pending</t>
        </is>
      </c>
      <c r="X40" t="n">
        <v>1730536.71</v>
      </c>
      <c r="Y40" t="inlineStr">
        <is>
          <t>Q3 follow-up</t>
        </is>
      </c>
      <c r="Z40" t="inlineStr">
        <is>
          <t>See file</t>
        </is>
      </c>
      <c r="AA40" t="inlineStr">
        <is>
          <t>Reviewed</t>
        </is>
      </c>
      <c r="AB40" t="inlineStr">
        <is>
          <t>Yes</t>
        </is>
      </c>
      <c r="AC40" t="inlineStr">
        <is>
          <t>-</t>
        </is>
      </c>
      <c r="AD40" t="inlineStr">
        <is>
          <t>Bell-Fitzgerald 0029</t>
        </is>
      </c>
      <c r="AE40" t="inlineStr">
        <is>
          <t>Low</t>
        </is>
      </c>
      <c r="AF40" t="inlineStr">
        <is>
          <t>No</t>
        </is>
      </c>
      <c r="AG40" t="inlineStr">
        <is>
          <t>Low</t>
        </is>
      </c>
      <c r="AH40" t="n">
        <v>3383192.66</v>
      </c>
      <c r="AI40" t="inlineStr">
        <is>
          <t>Standard</t>
        </is>
      </c>
      <c r="AJ40" t="inlineStr">
        <is>
          <t>Low</t>
        </is>
      </c>
      <c r="AK40" t="inlineStr">
        <is>
          <t>Standard</t>
        </is>
      </c>
      <c r="AL40" t="inlineStr">
        <is>
          <t>TRUE</t>
        </is>
      </c>
      <c r="AM40" t="inlineStr">
        <is>
          <t>Reviewed</t>
        </is>
      </c>
      <c r="AN40" t="inlineStr">
        <is>
          <t>N</t>
        </is>
      </c>
      <c r="AO40" t="inlineStr">
        <is>
          <t>n/a</t>
        </is>
      </c>
      <c r="AP40" t="n">
        <v>25161.53</v>
      </c>
      <c r="AQ40" t="inlineStr">
        <is>
          <t>-</t>
        </is>
      </c>
      <c r="AR40" t="inlineStr">
        <is>
          <t>Q3 follow-up</t>
        </is>
      </c>
      <c r="AS40" t="inlineStr">
        <is>
          <t>Q3 follow-up</t>
        </is>
      </c>
      <c r="AU40" t="n">
        <v>2374223.13</v>
      </c>
      <c r="AV40" t="inlineStr">
        <is>
          <t>user629@example.org</t>
        </is>
      </c>
      <c r="AW40">
        <f>ROW()*4</f>
        <v/>
      </c>
      <c r="AY40" t="inlineStr">
        <is>
          <t>TBC</t>
        </is>
      </c>
      <c r="AZ40" t="inlineStr">
        <is>
          <t>See file</t>
        </is>
      </c>
      <c r="BA40" t="inlineStr">
        <is>
          <t>High</t>
        </is>
      </c>
      <c r="BB40" t="inlineStr">
        <is>
          <t>Bell-Fitzgerald 0029 (Legal Entity)</t>
        </is>
      </c>
      <c r="BD40" t="inlineStr">
        <is>
          <t>No</t>
        </is>
      </c>
      <c r="BE40" t="inlineStr">
        <is>
          <t>03/11/20</t>
        </is>
      </c>
    </row>
    <row r="41">
      <c r="A41" t="inlineStr">
        <is>
          <t>Active</t>
        </is>
      </c>
      <c r="B41" t="n">
        <v>4696458.39</v>
      </c>
      <c r="C41" t="inlineStr">
        <is>
          <t>Insurance Company</t>
        </is>
      </c>
      <c r="D41" t="n">
        <v>781802.72</v>
      </c>
      <c r="E41" t="n">
        <v>547657.52</v>
      </c>
      <c r="F41" t="inlineStr">
        <is>
          <t>TBC</t>
        </is>
      </c>
      <c r="G41" t="inlineStr">
        <is>
          <t>Reviewed</t>
        </is>
      </c>
      <c r="H41" t="inlineStr">
        <is>
          <t>N</t>
        </is>
      </c>
      <c r="I41" t="inlineStr">
        <is>
          <t>04/09/2024</t>
        </is>
      </c>
      <c r="J41" t="inlineStr">
        <is>
          <t>Q3 follow-up</t>
        </is>
      </c>
      <c r="K41" t="inlineStr">
        <is>
          <t>Chapman-Estrada</t>
        </is>
      </c>
      <c r="M41" t="inlineStr">
        <is>
          <t>2012-06-24</t>
        </is>
      </c>
      <c r="N41" t="n">
        <v>2334.2458</v>
      </c>
      <c r="O41" t="inlineStr">
        <is>
          <t>-</t>
        </is>
      </c>
      <c r="P41" t="inlineStr">
        <is>
          <t>INV0000034</t>
        </is>
      </c>
      <c r="Q41" t="inlineStr">
        <is>
          <t>Q3 follow-up</t>
        </is>
      </c>
      <c r="R41" t="inlineStr">
        <is>
          <t>Moderate</t>
        </is>
      </c>
      <c r="S41" t="inlineStr">
        <is>
          <t>GBP</t>
        </is>
      </c>
      <c r="T41" t="inlineStr">
        <is>
          <t>Guinea</t>
        </is>
      </c>
      <c r="U41" t="n">
        <v>1479211.05</v>
      </c>
      <c r="V41" t="inlineStr">
        <is>
          <t>TBC</t>
        </is>
      </c>
      <c r="W41" t="inlineStr">
        <is>
          <t>TBC</t>
        </is>
      </c>
      <c r="X41" t="n">
        <v>2032353.44</v>
      </c>
      <c r="Y41" t="inlineStr">
        <is>
          <t>Q3 follow-up</t>
        </is>
      </c>
      <c r="Z41" t="inlineStr">
        <is>
          <t>Q3 follow-up</t>
        </is>
      </c>
      <c r="AA41" t="inlineStr">
        <is>
          <t>Low</t>
        </is>
      </c>
      <c r="AB41" t="inlineStr"/>
      <c r="AC41" t="inlineStr">
        <is>
          <t>Standard</t>
        </is>
      </c>
      <c r="AD41" t="inlineStr">
        <is>
          <t>Chapman-Estrada 0030</t>
        </is>
      </c>
      <c r="AE41" t="inlineStr">
        <is>
          <t>See file</t>
        </is>
      </c>
      <c r="AF41" t="inlineStr">
        <is>
          <t>Yes</t>
        </is>
      </c>
      <c r="AG41" t="inlineStr">
        <is>
          <t>Reviewed</t>
        </is>
      </c>
      <c r="AH41" t="n">
        <v>1342303.21</v>
      </c>
      <c r="AI41" t="inlineStr">
        <is>
          <t>Reviewed</t>
        </is>
      </c>
      <c r="AJ41" t="inlineStr">
        <is>
          <t>Reviewed</t>
        </is>
      </c>
      <c r="AK41" t="inlineStr">
        <is>
          <t>Standard</t>
        </is>
      </c>
      <c r="AL41" t="inlineStr">
        <is>
          <t>N</t>
        </is>
      </c>
      <c r="AM41" t="inlineStr">
        <is>
          <t>-</t>
        </is>
      </c>
      <c r="AN41" t="inlineStr">
        <is>
          <t>No</t>
        </is>
      </c>
      <c r="AO41" t="inlineStr">
        <is>
          <t>Y</t>
        </is>
      </c>
      <c r="AP41" t="inlineStr">
        <is>
          <t>27,757.08</t>
        </is>
      </c>
      <c r="AQ41" t="inlineStr">
        <is>
          <t>-</t>
        </is>
      </c>
      <c r="AR41" t="inlineStr">
        <is>
          <t>-</t>
        </is>
      </c>
      <c r="AS41" t="inlineStr">
        <is>
          <t>Reviewed</t>
        </is>
      </c>
      <c r="AU41" t="n">
        <v>4025674.45</v>
      </c>
      <c r="AV41" t="inlineStr">
        <is>
          <t>user320@example.org</t>
        </is>
      </c>
      <c r="AW41">
        <f>ROW()*6</f>
        <v/>
      </c>
      <c r="AY41" t="inlineStr">
        <is>
          <t>TBC</t>
        </is>
      </c>
      <c r="AZ41" t="inlineStr">
        <is>
          <t>Standard</t>
        </is>
      </c>
      <c r="BA41" t="inlineStr">
        <is>
          <t>See file</t>
        </is>
      </c>
      <c r="BB41" t="inlineStr">
        <is>
          <t>Chapman-Estrada 0030 (Legal Entity)</t>
        </is>
      </c>
      <c r="BD41" t="inlineStr">
        <is>
          <t>No</t>
        </is>
      </c>
      <c r="BE41" t="inlineStr">
        <is>
          <t>04/17/23</t>
        </is>
      </c>
    </row>
    <row r="42">
      <c r="A42" t="inlineStr">
        <is>
          <t>Active</t>
        </is>
      </c>
      <c r="B42" t="n">
        <v>899753.34</v>
      </c>
      <c r="C42" t="inlineStr">
        <is>
          <t>Sovereign Wealth Fund</t>
        </is>
      </c>
      <c r="D42" t="n">
        <v>824990.96</v>
      </c>
      <c r="E42" t="n">
        <v>3966203.37</v>
      </c>
      <c r="F42" t="inlineStr">
        <is>
          <t>Low</t>
        </is>
      </c>
      <c r="G42" t="inlineStr">
        <is>
          <t>Pending</t>
        </is>
      </c>
      <c r="H42" t="inlineStr">
        <is>
          <t>No</t>
        </is>
      </c>
      <c r="I42" t="inlineStr">
        <is>
          <t>2024-05-06</t>
        </is>
      </c>
      <c r="J42" t="inlineStr">
        <is>
          <t>Low</t>
        </is>
      </c>
      <c r="K42" t="inlineStr">
        <is>
          <t>Solomon,</t>
        </is>
      </c>
      <c r="M42" t="inlineStr">
        <is>
          <t>02/01/2021</t>
        </is>
      </c>
      <c r="N42" t="inlineStr">
        <is>
          <t>2,828.91</t>
        </is>
      </c>
      <c r="O42" t="inlineStr">
        <is>
          <t>See file</t>
        </is>
      </c>
      <c r="P42" t="inlineStr">
        <is>
          <t>INV0000035</t>
        </is>
      </c>
      <c r="Q42" t="inlineStr">
        <is>
          <t>-</t>
        </is>
      </c>
      <c r="R42" t="inlineStr">
        <is>
          <t>Moderate</t>
        </is>
      </c>
      <c r="S42" t="inlineStr">
        <is>
          <t>GBP</t>
        </is>
      </c>
      <c r="T42" t="inlineStr">
        <is>
          <t>Tuvalu</t>
        </is>
      </c>
      <c r="U42" t="n">
        <v>1417002.97</v>
      </c>
      <c r="V42" t="inlineStr"/>
      <c r="W42" t="inlineStr">
        <is>
          <t>Q3 follow-up</t>
        </is>
      </c>
      <c r="X42" t="n">
        <v>3621253.06</v>
      </c>
      <c r="Y42" t="inlineStr">
        <is>
          <t>See file</t>
        </is>
      </c>
      <c r="Z42" t="inlineStr">
        <is>
          <t>Low</t>
        </is>
      </c>
      <c r="AA42" t="inlineStr">
        <is>
          <t>Standard</t>
        </is>
      </c>
      <c r="AB42" t="inlineStr">
        <is>
          <t>n/a</t>
        </is>
      </c>
      <c r="AC42" t="inlineStr"/>
      <c r="AD42" t="inlineStr">
        <is>
          <t>Solomon, Hayes and Miller 0007</t>
        </is>
      </c>
      <c r="AE42" t="inlineStr">
        <is>
          <t>-</t>
        </is>
      </c>
      <c r="AF42" t="inlineStr">
        <is>
          <t>No</t>
        </is>
      </c>
      <c r="AG42" t="inlineStr">
        <is>
          <t>See file</t>
        </is>
      </c>
      <c r="AH42" t="n">
        <v>117893.98</v>
      </c>
      <c r="AI42" t="inlineStr">
        <is>
          <t>Standard</t>
        </is>
      </c>
      <c r="AJ42" t="inlineStr">
        <is>
          <t>See file</t>
        </is>
      </c>
      <c r="AK42" t="inlineStr">
        <is>
          <t>High</t>
        </is>
      </c>
      <c r="AL42" t="inlineStr">
        <is>
          <t>TRUE</t>
        </is>
      </c>
      <c r="AM42" t="inlineStr">
        <is>
          <t>See file</t>
        </is>
      </c>
      <c r="AN42" t="inlineStr">
        <is>
          <t>No</t>
        </is>
      </c>
      <c r="AO42" t="inlineStr">
        <is>
          <t>Yes</t>
        </is>
      </c>
      <c r="AP42" t="inlineStr">
        <is>
          <t>20,519.53</t>
        </is>
      </c>
      <c r="AQ42" t="inlineStr">
        <is>
          <t>High</t>
        </is>
      </c>
      <c r="AR42" t="inlineStr">
        <is>
          <t>High</t>
        </is>
      </c>
      <c r="AS42" t="inlineStr">
        <is>
          <t>TBC</t>
        </is>
      </c>
      <c r="AU42" t="n">
        <v>2048994.19</v>
      </c>
      <c r="AV42" t="inlineStr">
        <is>
          <t>user317@example.org</t>
        </is>
      </c>
      <c r="AW42">
        <f>ROW()*6</f>
        <v/>
      </c>
      <c r="AY42" t="inlineStr">
        <is>
          <t>Pending</t>
        </is>
      </c>
      <c r="AZ42" t="inlineStr">
        <is>
          <t>Q3 follow-up</t>
        </is>
      </c>
      <c r="BA42" t="inlineStr">
        <is>
          <t>Reviewed</t>
        </is>
      </c>
      <c r="BB42" t="inlineStr">
        <is>
          <t>Solomon, Hayes and Miller 0007 (Legal Entity)</t>
        </is>
      </c>
      <c r="BD42" t="inlineStr">
        <is>
          <t>n/a</t>
        </is>
      </c>
      <c r="BE42" t="inlineStr">
        <is>
          <t>03-Sep-2021</t>
        </is>
      </c>
    </row>
    <row r="43">
      <c r="A43" t="inlineStr">
        <is>
          <t>Active</t>
        </is>
      </c>
      <c r="B43" t="n">
        <v>2040953.7</v>
      </c>
      <c r="C43" t="inlineStr">
        <is>
          <t>Foundation</t>
        </is>
      </c>
      <c r="D43" t="n">
        <v>175939.17</v>
      </c>
      <c r="E43" t="inlineStr">
        <is>
          <t>TBD</t>
        </is>
      </c>
      <c r="F43" t="inlineStr"/>
      <c r="G43" t="inlineStr">
        <is>
          <t>Standard</t>
        </is>
      </c>
      <c r="H43" t="inlineStr">
        <is>
          <t>Yes</t>
        </is>
      </c>
      <c r="I43" t="inlineStr">
        <is>
          <t>04/06/2023</t>
        </is>
      </c>
      <c r="J43" t="inlineStr">
        <is>
          <t>See file</t>
        </is>
      </c>
      <c r="K43" t="inlineStr">
        <is>
          <t>Grant-Woods</t>
        </is>
      </c>
      <c r="M43" t="inlineStr">
        <is>
          <t>2025-10-12</t>
        </is>
      </c>
      <c r="N43" t="n">
        <v>2960.9887</v>
      </c>
      <c r="O43" t="inlineStr">
        <is>
          <t>Standard</t>
        </is>
      </c>
      <c r="P43" t="inlineStr">
        <is>
          <t>INV0000036</t>
        </is>
      </c>
      <c r="Q43" t="inlineStr">
        <is>
          <t>-</t>
        </is>
      </c>
      <c r="R43" t="inlineStr">
        <is>
          <t>Conservative</t>
        </is>
      </c>
      <c r="S43" t="inlineStr">
        <is>
          <t>USD</t>
        </is>
      </c>
      <c r="T43" t="inlineStr">
        <is>
          <t>Armenia</t>
        </is>
      </c>
      <c r="U43" t="n">
        <v>2166060.16</v>
      </c>
      <c r="V43" t="inlineStr">
        <is>
          <t>See file</t>
        </is>
      </c>
      <c r="W43" t="inlineStr">
        <is>
          <t>High</t>
        </is>
      </c>
      <c r="X43" t="n">
        <v>4244561.15</v>
      </c>
      <c r="Y43" t="inlineStr">
        <is>
          <t>Reviewed</t>
        </is>
      </c>
      <c r="Z43" t="inlineStr">
        <is>
          <t>-</t>
        </is>
      </c>
      <c r="AA43" t="inlineStr">
        <is>
          <t>TBC</t>
        </is>
      </c>
      <c r="AB43" t="inlineStr">
        <is>
          <t>n/a</t>
        </is>
      </c>
      <c r="AC43" t="inlineStr">
        <is>
          <t>Reviewed</t>
        </is>
      </c>
      <c r="AD43" t="inlineStr">
        <is>
          <t>Grant-Woods 0031</t>
        </is>
      </c>
      <c r="AE43" t="inlineStr">
        <is>
          <t>See file</t>
        </is>
      </c>
      <c r="AF43" t="inlineStr">
        <is>
          <t>n/a</t>
        </is>
      </c>
      <c r="AG43" t="inlineStr">
        <is>
          <t>Low</t>
        </is>
      </c>
      <c r="AH43" t="n">
        <v>4170764.3</v>
      </c>
      <c r="AI43" t="inlineStr">
        <is>
          <t>Standard</t>
        </is>
      </c>
      <c r="AJ43" t="inlineStr"/>
      <c r="AK43" t="inlineStr">
        <is>
          <t>Standard</t>
        </is>
      </c>
      <c r="AL43" t="inlineStr">
        <is>
          <t>Yes</t>
        </is>
      </c>
      <c r="AM43" t="inlineStr">
        <is>
          <t>TBC</t>
        </is>
      </c>
      <c r="AN43" t="inlineStr">
        <is>
          <t>n/a</t>
        </is>
      </c>
      <c r="AO43" t="inlineStr">
        <is>
          <t>n/a</t>
        </is>
      </c>
      <c r="AP43" t="n">
        <v>21291.44</v>
      </c>
      <c r="AQ43" t="inlineStr">
        <is>
          <t>See file</t>
        </is>
      </c>
      <c r="AR43" t="inlineStr">
        <is>
          <t>Q3 follow-up</t>
        </is>
      </c>
      <c r="AS43" t="inlineStr">
        <is>
          <t>Low</t>
        </is>
      </c>
      <c r="AU43" t="inlineStr"/>
      <c r="AV43" t="inlineStr">
        <is>
          <t>user48@example.org</t>
        </is>
      </c>
      <c r="AW43">
        <f>ROW()*4</f>
        <v/>
      </c>
      <c r="AY43" t="inlineStr">
        <is>
          <t>Low</t>
        </is>
      </c>
      <c r="AZ43" t="inlineStr">
        <is>
          <t>Q3 follow-up</t>
        </is>
      </c>
      <c r="BA43" t="inlineStr">
        <is>
          <t>Standard</t>
        </is>
      </c>
      <c r="BB43" t="inlineStr">
        <is>
          <t>Grant-Woods 0031 (Legal Entity)</t>
        </is>
      </c>
      <c r="BD43" t="inlineStr">
        <is>
          <t>TRUE</t>
        </is>
      </c>
      <c r="BE43" t="inlineStr">
        <is>
          <t>2022-08-07</t>
        </is>
      </c>
    </row>
    <row r="44">
      <c r="A44" t="inlineStr">
        <is>
          <t>Inactive</t>
        </is>
      </c>
      <c r="B44" t="n">
        <v>95463.57000000001</v>
      </c>
      <c r="C44" t="inlineStr">
        <is>
          <t>Insurance Company</t>
        </is>
      </c>
      <c r="D44" t="n">
        <v>4290195.63</v>
      </c>
      <c r="E44" t="n">
        <v>4703119.92</v>
      </c>
      <c r="F44" t="inlineStr">
        <is>
          <t>High</t>
        </is>
      </c>
      <c r="G44" t="inlineStr">
        <is>
          <t>Standard</t>
        </is>
      </c>
      <c r="H44" t="inlineStr">
        <is>
          <t>N</t>
        </is>
      </c>
      <c r="I44" t="inlineStr">
        <is>
          <t>2020-03-11</t>
        </is>
      </c>
      <c r="J44" t="inlineStr">
        <is>
          <t>TBC</t>
        </is>
      </c>
      <c r="K44" t="inlineStr">
        <is>
          <t>Clark-Martin</t>
        </is>
      </c>
      <c r="M44" t="inlineStr">
        <is>
          <t>2026-08-04</t>
        </is>
      </c>
      <c r="N44" t="inlineStr">
        <is>
          <t>3,358.07</t>
        </is>
      </c>
      <c r="O44" t="inlineStr"/>
      <c r="P44" t="inlineStr">
        <is>
          <t>INV0000037</t>
        </is>
      </c>
      <c r="Q44" t="inlineStr">
        <is>
          <t>Pending</t>
        </is>
      </c>
      <c r="R44" t="inlineStr">
        <is>
          <t>Conservative</t>
        </is>
      </c>
      <c r="S44" t="inlineStr">
        <is>
          <t>USD</t>
        </is>
      </c>
      <c r="T44" t="inlineStr">
        <is>
          <t>Palau</t>
        </is>
      </c>
      <c r="U44" t="n">
        <v>1138058.14</v>
      </c>
      <c r="V44" t="inlineStr">
        <is>
          <t>Q3 follow-up</t>
        </is>
      </c>
      <c r="W44" t="inlineStr">
        <is>
          <t>TBC</t>
        </is>
      </c>
      <c r="X44" t="n">
        <v>3066021.23</v>
      </c>
      <c r="Y44" t="inlineStr">
        <is>
          <t>Low</t>
        </is>
      </c>
      <c r="Z44" t="inlineStr">
        <is>
          <t>Low</t>
        </is>
      </c>
      <c r="AA44" t="inlineStr">
        <is>
          <t>Reviewed</t>
        </is>
      </c>
      <c r="AB44" t="inlineStr">
        <is>
          <t>No</t>
        </is>
      </c>
      <c r="AC44" t="inlineStr">
        <is>
          <t>High</t>
        </is>
      </c>
      <c r="AD44" t="inlineStr">
        <is>
          <t>Clark-Martin 0005</t>
        </is>
      </c>
      <c r="AE44" t="inlineStr">
        <is>
          <t>Reviewed</t>
        </is>
      </c>
      <c r="AF44" t="inlineStr">
        <is>
          <t>Y</t>
        </is>
      </c>
      <c r="AG44" t="inlineStr">
        <is>
          <t>Standard</t>
        </is>
      </c>
      <c r="AH44" t="n">
        <v>4269563.13</v>
      </c>
      <c r="AI44" t="inlineStr">
        <is>
          <t>High</t>
        </is>
      </c>
      <c r="AJ44" t="inlineStr">
        <is>
          <t>Standard</t>
        </is>
      </c>
      <c r="AK44" t="inlineStr">
        <is>
          <t>Low</t>
        </is>
      </c>
      <c r="AL44" t="inlineStr">
        <is>
          <t>N</t>
        </is>
      </c>
      <c r="AM44" t="inlineStr"/>
      <c r="AN44" t="inlineStr">
        <is>
          <t>Y</t>
        </is>
      </c>
      <c r="AO44" t="inlineStr">
        <is>
          <t>Yes</t>
        </is>
      </c>
      <c r="AP44" t="inlineStr">
        <is>
          <t>15,145.13</t>
        </is>
      </c>
      <c r="AQ44" t="inlineStr">
        <is>
          <t>-</t>
        </is>
      </c>
      <c r="AR44" t="inlineStr">
        <is>
          <t>TBC</t>
        </is>
      </c>
      <c r="AS44" t="inlineStr">
        <is>
          <t>Reviewed</t>
        </is>
      </c>
      <c r="AU44" t="inlineStr">
        <is>
          <t>-</t>
        </is>
      </c>
      <c r="AV44" t="inlineStr">
        <is>
          <t>user489@example.org</t>
        </is>
      </c>
      <c r="AW44">
        <f>ROW()*7</f>
        <v/>
      </c>
      <c r="AY44" t="inlineStr">
        <is>
          <t>Standard</t>
        </is>
      </c>
      <c r="AZ44" t="inlineStr"/>
      <c r="BA44" t="inlineStr">
        <is>
          <t>Standard</t>
        </is>
      </c>
      <c r="BB44" t="inlineStr">
        <is>
          <t>Clark-Martin 0005 (Legal Entity)</t>
        </is>
      </c>
      <c r="BD44" t="inlineStr">
        <is>
          <t>Yes</t>
        </is>
      </c>
      <c r="BE44" t="inlineStr">
        <is>
          <t>27-Aug-2020</t>
        </is>
      </c>
    </row>
    <row r="45">
      <c r="A45" t="inlineStr">
        <is>
          <t>Active</t>
        </is>
      </c>
      <c r="B45" t="inlineStr">
        <is>
          <t>N/A</t>
        </is>
      </c>
      <c r="C45" t="inlineStr">
        <is>
          <t>Family Office</t>
        </is>
      </c>
      <c r="D45" t="n">
        <v>1970545.43</v>
      </c>
      <c r="E45" t="inlineStr"/>
      <c r="F45" t="inlineStr"/>
      <c r="G45" t="inlineStr">
        <is>
          <t>-</t>
        </is>
      </c>
      <c r="H45" t="inlineStr">
        <is>
          <t>Yes</t>
        </is>
      </c>
      <c r="I45" t="inlineStr">
        <is>
          <t>10/04/2021</t>
        </is>
      </c>
      <c r="J45" t="inlineStr">
        <is>
          <t>Standard</t>
        </is>
      </c>
      <c r="K45" t="inlineStr">
        <is>
          <t>Roach-Brooks</t>
        </is>
      </c>
      <c r="M45" t="inlineStr">
        <is>
          <t>28-Sep-2013</t>
        </is>
      </c>
      <c r="N45" t="n">
        <v>756.2435</v>
      </c>
      <c r="O45" t="inlineStr">
        <is>
          <t>Low</t>
        </is>
      </c>
      <c r="P45" t="inlineStr">
        <is>
          <t>INV0000038</t>
        </is>
      </c>
      <c r="Q45" t="inlineStr"/>
      <c r="R45" t="inlineStr">
        <is>
          <t>Aggressive</t>
        </is>
      </c>
      <c r="S45" t="inlineStr">
        <is>
          <t>EUR</t>
        </is>
      </c>
      <c r="T45" t="inlineStr">
        <is>
          <t>Estonia</t>
        </is>
      </c>
      <c r="U45" t="n">
        <v>4447128.9</v>
      </c>
      <c r="V45" t="inlineStr">
        <is>
          <t>Standard</t>
        </is>
      </c>
      <c r="W45" t="inlineStr">
        <is>
          <t>Standard</t>
        </is>
      </c>
      <c r="X45" t="n">
        <v>2418665.37</v>
      </c>
      <c r="Y45" t="inlineStr">
        <is>
          <t>Low</t>
        </is>
      </c>
      <c r="Z45" t="inlineStr">
        <is>
          <t>Pending</t>
        </is>
      </c>
      <c r="AA45" t="inlineStr">
        <is>
          <t>Q3 follow-up</t>
        </is>
      </c>
      <c r="AB45" t="inlineStr">
        <is>
          <t>Y</t>
        </is>
      </c>
      <c r="AC45" t="inlineStr"/>
      <c r="AD45" t="inlineStr">
        <is>
          <t>Roach-Brooks 0036</t>
        </is>
      </c>
      <c r="AE45" t="inlineStr">
        <is>
          <t>Pending</t>
        </is>
      </c>
      <c r="AF45" t="inlineStr">
        <is>
          <t>Yes</t>
        </is>
      </c>
      <c r="AG45" t="inlineStr">
        <is>
          <t>Standard</t>
        </is>
      </c>
      <c r="AH45" t="n">
        <v>3711831.25</v>
      </c>
      <c r="AI45" t="inlineStr">
        <is>
          <t>TBC</t>
        </is>
      </c>
      <c r="AJ45" t="inlineStr">
        <is>
          <t>Low</t>
        </is>
      </c>
      <c r="AK45" t="inlineStr">
        <is>
          <t>Q3 follow-up</t>
        </is>
      </c>
      <c r="AL45" t="inlineStr">
        <is>
          <t>Y</t>
        </is>
      </c>
      <c r="AM45" t="inlineStr">
        <is>
          <t>Reviewed</t>
        </is>
      </c>
      <c r="AN45" t="inlineStr"/>
      <c r="AO45" t="inlineStr">
        <is>
          <t>Yes</t>
        </is>
      </c>
      <c r="AP45" t="inlineStr">
        <is>
          <t>14,635.72</t>
        </is>
      </c>
      <c r="AQ45" t="inlineStr"/>
      <c r="AR45" t="inlineStr">
        <is>
          <t>High</t>
        </is>
      </c>
      <c r="AS45" t="inlineStr">
        <is>
          <t>Standard</t>
        </is>
      </c>
      <c r="AU45" t="inlineStr">
        <is>
          <t>TBD</t>
        </is>
      </c>
      <c r="AV45" t="inlineStr">
        <is>
          <t>user499@example.org</t>
        </is>
      </c>
      <c r="AW45">
        <f>ROW()*7</f>
        <v/>
      </c>
      <c r="AY45" t="inlineStr">
        <is>
          <t>-</t>
        </is>
      </c>
      <c r="AZ45" t="inlineStr">
        <is>
          <t>High</t>
        </is>
      </c>
      <c r="BA45" t="inlineStr">
        <is>
          <t>See file</t>
        </is>
      </c>
      <c r="BB45" t="inlineStr">
        <is>
          <t>Roach-Brooks 0036 (Legal Entity)</t>
        </is>
      </c>
      <c r="BD45" t="inlineStr">
        <is>
          <t>Y</t>
        </is>
      </c>
      <c r="BE45" t="inlineStr">
        <is>
          <t>05/12/23</t>
        </is>
      </c>
    </row>
    <row r="46">
      <c r="A46" t="inlineStr">
        <is>
          <t>Active</t>
        </is>
      </c>
      <c r="B46" t="n">
        <v>3805620.21</v>
      </c>
      <c r="C46" t="inlineStr">
        <is>
          <t>Family Office</t>
        </is>
      </c>
      <c r="D46" t="n">
        <v>1313640.92</v>
      </c>
      <c r="E46" t="n">
        <v>3578075.08</v>
      </c>
      <c r="F46" t="inlineStr">
        <is>
          <t>Low</t>
        </is>
      </c>
      <c r="G46" t="inlineStr">
        <is>
          <t>Q3 follow-up</t>
        </is>
      </c>
      <c r="H46" t="inlineStr">
        <is>
          <t>Yes</t>
        </is>
      </c>
      <c r="I46" t="inlineStr">
        <is>
          <t>07/15/22</t>
        </is>
      </c>
      <c r="J46" t="inlineStr">
        <is>
          <t>Standard</t>
        </is>
      </c>
      <c r="K46" t="inlineStr">
        <is>
          <t>Simpson-Escobar</t>
        </is>
      </c>
      <c r="M46" t="inlineStr">
        <is>
          <t>2025-06-27</t>
        </is>
      </c>
      <c r="N46" t="inlineStr">
        <is>
          <t>856.21</t>
        </is>
      </c>
      <c r="O46" t="inlineStr">
        <is>
          <t>Standard</t>
        </is>
      </c>
      <c r="P46" t="inlineStr">
        <is>
          <t>INV0000039</t>
        </is>
      </c>
      <c r="Q46" t="inlineStr">
        <is>
          <t>Standard</t>
        </is>
      </c>
      <c r="R46" t="inlineStr">
        <is>
          <t>Moderate</t>
        </is>
      </c>
      <c r="S46" t="inlineStr">
        <is>
          <t>USD</t>
        </is>
      </c>
      <c r="T46" t="inlineStr">
        <is>
          <t>British Virgin Islands</t>
        </is>
      </c>
      <c r="U46" t="n">
        <v>2467436.47</v>
      </c>
      <c r="V46" t="inlineStr">
        <is>
          <t>See file</t>
        </is>
      </c>
      <c r="W46" t="inlineStr">
        <is>
          <t>Reviewed</t>
        </is>
      </c>
      <c r="X46" t="n">
        <v>3713032.42</v>
      </c>
      <c r="Y46" t="inlineStr"/>
      <c r="Z46" t="inlineStr">
        <is>
          <t>Pending</t>
        </is>
      </c>
      <c r="AA46" t="inlineStr">
        <is>
          <t>Pending</t>
        </is>
      </c>
      <c r="AB46" t="inlineStr">
        <is>
          <t>n/a</t>
        </is>
      </c>
      <c r="AC46" t="inlineStr">
        <is>
          <t>Standard</t>
        </is>
      </c>
      <c r="AD46" t="inlineStr">
        <is>
          <t>Simpson-Escobar 0025</t>
        </is>
      </c>
      <c r="AE46" t="inlineStr">
        <is>
          <t>Q3 follow-up</t>
        </is>
      </c>
      <c r="AF46" t="inlineStr"/>
      <c r="AG46" t="inlineStr">
        <is>
          <t>Reviewed</t>
        </is>
      </c>
      <c r="AH46" t="n">
        <v>2022053.33</v>
      </c>
      <c r="AI46" t="inlineStr">
        <is>
          <t>Pending</t>
        </is>
      </c>
      <c r="AJ46" t="inlineStr">
        <is>
          <t>-</t>
        </is>
      </c>
      <c r="AK46" t="inlineStr">
        <is>
          <t>Standard</t>
        </is>
      </c>
      <c r="AL46" t="inlineStr">
        <is>
          <t>n/a</t>
        </is>
      </c>
      <c r="AM46" t="inlineStr">
        <is>
          <t>See file</t>
        </is>
      </c>
      <c r="AN46" t="inlineStr">
        <is>
          <t>Y</t>
        </is>
      </c>
      <c r="AO46" t="inlineStr">
        <is>
          <t>N</t>
        </is>
      </c>
      <c r="AP46" t="inlineStr">
        <is>
          <t>37,009.36</t>
        </is>
      </c>
      <c r="AQ46" t="inlineStr">
        <is>
          <t>Q3 follow-up</t>
        </is>
      </c>
      <c r="AR46" t="inlineStr">
        <is>
          <t>Standard</t>
        </is>
      </c>
      <c r="AS46" t="inlineStr">
        <is>
          <t>Standard</t>
        </is>
      </c>
      <c r="AU46" t="n">
        <v>1206277.79</v>
      </c>
      <c r="AV46" t="inlineStr">
        <is>
          <t>user3@example.org</t>
        </is>
      </c>
      <c r="AW46">
        <f>ROW()*7</f>
        <v/>
      </c>
      <c r="AY46" t="inlineStr">
        <is>
          <t>Low</t>
        </is>
      </c>
      <c r="AZ46" t="inlineStr">
        <is>
          <t>TBC</t>
        </is>
      </c>
      <c r="BA46" t="inlineStr">
        <is>
          <t>Pending</t>
        </is>
      </c>
      <c r="BB46" t="inlineStr">
        <is>
          <t>Simpson-Escobar 0025 (Legal Entity)</t>
        </is>
      </c>
      <c r="BD46" t="inlineStr">
        <is>
          <t>n/a</t>
        </is>
      </c>
      <c r="BE46" t="inlineStr">
        <is>
          <t>18-Jan-2020</t>
        </is>
      </c>
    </row>
    <row r="47">
      <c r="A47" t="inlineStr">
        <is>
          <t>Active</t>
        </is>
      </c>
      <c r="B47" t="n">
        <v>654330.78</v>
      </c>
      <c r="C47" t="inlineStr">
        <is>
          <t>High Net Worth Individual</t>
        </is>
      </c>
      <c r="D47" t="inlineStr">
        <is>
          <t>-</t>
        </is>
      </c>
      <c r="E47" t="n">
        <v>2943501.58</v>
      </c>
      <c r="F47" t="inlineStr">
        <is>
          <t>TBC</t>
        </is>
      </c>
      <c r="G47" t="inlineStr">
        <is>
          <t>High</t>
        </is>
      </c>
      <c r="H47" t="inlineStr">
        <is>
          <t>No</t>
        </is>
      </c>
      <c r="I47" t="inlineStr">
        <is>
          <t>17/03/2020</t>
        </is>
      </c>
      <c r="J47" t="inlineStr">
        <is>
          <t>Standard</t>
        </is>
      </c>
      <c r="K47" t="inlineStr">
        <is>
          <t>Lee,</t>
        </is>
      </c>
      <c r="M47" t="inlineStr">
        <is>
          <t>29/05/2026</t>
        </is>
      </c>
      <c r="N47" t="n">
        <v>2327.3393</v>
      </c>
      <c r="O47" t="inlineStr">
        <is>
          <t>TBC</t>
        </is>
      </c>
      <c r="P47" t="inlineStr">
        <is>
          <t>INV0000040</t>
        </is>
      </c>
      <c r="Q47" t="inlineStr">
        <is>
          <t>See file</t>
        </is>
      </c>
      <c r="R47" t="inlineStr">
        <is>
          <t>Conservative</t>
        </is>
      </c>
      <c r="S47" t="inlineStr">
        <is>
          <t>JPY</t>
        </is>
      </c>
      <c r="T47" t="inlineStr">
        <is>
          <t>Cocos (Keeling) Islands</t>
        </is>
      </c>
      <c r="U47" t="n">
        <v>1154957.52</v>
      </c>
      <c r="V47" t="inlineStr">
        <is>
          <t>Q3 follow-up</t>
        </is>
      </c>
      <c r="W47" t="inlineStr">
        <is>
          <t>Q3 follow-up</t>
        </is>
      </c>
      <c r="X47" t="n">
        <v>2612564.66</v>
      </c>
      <c r="Y47" t="inlineStr">
        <is>
          <t>TBC</t>
        </is>
      </c>
      <c r="Z47" t="inlineStr">
        <is>
          <t>Standard</t>
        </is>
      </c>
      <c r="AA47" t="inlineStr">
        <is>
          <t>See file</t>
        </is>
      </c>
      <c r="AB47" t="inlineStr">
        <is>
          <t>N</t>
        </is>
      </c>
      <c r="AC47" t="inlineStr"/>
      <c r="AD47" t="inlineStr">
        <is>
          <t>Lee, Mccall and Lang 0012</t>
        </is>
      </c>
      <c r="AE47" t="inlineStr">
        <is>
          <t>See file</t>
        </is>
      </c>
      <c r="AF47" t="inlineStr">
        <is>
          <t>Y</t>
        </is>
      </c>
      <c r="AG47" t="inlineStr">
        <is>
          <t>-</t>
        </is>
      </c>
      <c r="AH47" t="n">
        <v>1081818.44</v>
      </c>
      <c r="AI47" t="inlineStr">
        <is>
          <t>-</t>
        </is>
      </c>
      <c r="AJ47" t="inlineStr">
        <is>
          <t>-</t>
        </is>
      </c>
      <c r="AK47" t="inlineStr">
        <is>
          <t>TBC</t>
        </is>
      </c>
      <c r="AL47" t="inlineStr">
        <is>
          <t>Yes</t>
        </is>
      </c>
      <c r="AM47" t="inlineStr">
        <is>
          <t>Reviewed</t>
        </is>
      </c>
      <c r="AN47" t="inlineStr">
        <is>
          <t>No</t>
        </is>
      </c>
      <c r="AO47" t="inlineStr"/>
      <c r="AP47" t="n">
        <v>37748.88</v>
      </c>
      <c r="AQ47" t="inlineStr">
        <is>
          <t>See file</t>
        </is>
      </c>
      <c r="AR47" t="inlineStr"/>
      <c r="AS47" t="inlineStr">
        <is>
          <t>Low</t>
        </is>
      </c>
      <c r="AU47" t="n">
        <v>1765110.66</v>
      </c>
      <c r="AV47" t="inlineStr">
        <is>
          <t>user803@example.org</t>
        </is>
      </c>
      <c r="AW47">
        <f>ROW()*8</f>
        <v/>
      </c>
      <c r="AY47" t="inlineStr">
        <is>
          <t>Low</t>
        </is>
      </c>
      <c r="AZ47" t="inlineStr">
        <is>
          <t>Standard</t>
        </is>
      </c>
      <c r="BA47" t="inlineStr">
        <is>
          <t>TBC</t>
        </is>
      </c>
      <c r="BB47" t="inlineStr">
        <is>
          <t>Lee, Mccall and Lang 0012 (Legal Entity)</t>
        </is>
      </c>
      <c r="BD47" t="inlineStr">
        <is>
          <t>N</t>
        </is>
      </c>
      <c r="BE47" t="inlineStr">
        <is>
          <t>14-Mar-2021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2026-10-10T00:54:48Z</dcterms:created>
  <dcterms:modified xsi:type="dcterms:W3CDTF">2026-10-10T00:54:48Z</dcterms:modified>
</cp:coreProperties>
</file>